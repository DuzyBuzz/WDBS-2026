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02CC4431-B730-4C8F-BBC6-17C8B8F8C1B4}" xr6:coauthVersionLast="47" xr6:coauthVersionMax="47" xr10:uidLastSave="{00000000-0000-0000-0000-000000000000}"/>
  <bookViews>
    <workbookView xWindow="-120" yWindow="-120" windowWidth="29040" windowHeight="15840" tabRatio="593" xr2:uid="{00000000-000D-0000-FFFF-FFFF00000000}"/>
  </bookViews>
  <sheets>
    <sheet name="IWD Billing Inv" sheetId="49" r:id="rId1"/>
    <sheet name="IWD Billing Blank" sheetId="52" r:id="rId2"/>
  </sheets>
  <definedNames>
    <definedName name="_xlnm.Print_Area" localSheetId="1">'IWD Billing Blank'!$A$1:$J$77</definedName>
    <definedName name="_xlnm.Print_Area" localSheetId="0">'IWD Billing Inv'!$A$1:$J$77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1" i="49" l="1"/>
  <c r="J66" i="49"/>
  <c r="J65" i="49"/>
  <c r="J64" i="49"/>
  <c r="J63" i="49"/>
  <c r="J62" i="49"/>
  <c r="J59" i="49"/>
  <c r="H59" i="49"/>
  <c r="F45" i="49"/>
  <c r="J40" i="49"/>
  <c r="J39" i="49"/>
  <c r="J38" i="49"/>
  <c r="J37" i="49"/>
  <c r="J36" i="49"/>
  <c r="J33" i="49"/>
  <c r="H33" i="49"/>
  <c r="F19" i="49"/>
  <c r="H7" i="49"/>
  <c r="J10" i="49"/>
  <c r="J11" i="49"/>
  <c r="J12" i="49"/>
  <c r="J13" i="49"/>
  <c r="J14" i="49"/>
  <c r="J67" i="49" l="1"/>
  <c r="J72" i="49" s="1"/>
  <c r="J41" i="49"/>
  <c r="J42" i="49" s="1"/>
  <c r="J45" i="49" s="1"/>
  <c r="J47" i="49" s="1"/>
  <c r="J46" i="49"/>
  <c r="J7" i="49"/>
  <c r="J68" i="49" l="1"/>
  <c r="J71" i="49" s="1"/>
  <c r="J73" i="49" s="1"/>
  <c r="J15" i="49"/>
  <c r="J20" i="49" s="1"/>
  <c r="J16" i="49"/>
  <c r="J19" i="49" l="1"/>
  <c r="J21" i="49" s="1"/>
</calcChain>
</file>

<file path=xl/sharedStrings.xml><?xml version="1.0" encoding="utf-8"?>
<sst xmlns="http://schemas.openxmlformats.org/spreadsheetml/2006/main" count="366" uniqueCount="77">
  <si>
    <t>METER READING</t>
  </si>
  <si>
    <t xml:space="preserve">Penalty     </t>
  </si>
  <si>
    <t>PREVIOUS</t>
  </si>
  <si>
    <t>PRESENT</t>
  </si>
  <si>
    <t>Cu. M. Consumed</t>
  </si>
  <si>
    <t>Add: Arrears</t>
  </si>
  <si>
    <t>File Copy</t>
  </si>
  <si>
    <t>Minimum Charge</t>
  </si>
  <si>
    <t>Amount</t>
  </si>
  <si>
    <t xml:space="preserve">M. Ezpeleta St., Igbaras, Iloilo </t>
  </si>
  <si>
    <t>Tel. No. (033) 315-6264</t>
  </si>
  <si>
    <t>NON-VAT REG. TIN: 006-231-718-000</t>
  </si>
  <si>
    <t>BILLING INVOICE</t>
  </si>
  <si>
    <t>SOLD TO:</t>
  </si>
  <si>
    <t>Registered Name:</t>
  </si>
  <si>
    <t>TIN:</t>
  </si>
  <si>
    <t>Business Address:</t>
  </si>
  <si>
    <t>JUAN DE LA CRUZ</t>
  </si>
  <si>
    <t>000-000-000-000</t>
  </si>
  <si>
    <t>M. EZPELETA ST., IGBARAS, ILOILO</t>
  </si>
  <si>
    <t>Invoice No.</t>
  </si>
  <si>
    <t>DUE DATE:</t>
  </si>
  <si>
    <t>Account No. :</t>
  </si>
  <si>
    <t>00-0-00-000</t>
  </si>
  <si>
    <t>WATER CONSUMPTION</t>
  </si>
  <si>
    <t>Unit Price</t>
  </si>
  <si>
    <t>Less: Discount</t>
  </si>
  <si>
    <t>TOTAL AMOUNT DUE</t>
  </si>
  <si>
    <t>Item Description/</t>
  </si>
  <si>
    <t>Nature of Service</t>
  </si>
  <si>
    <t>0-10 mᵌ</t>
  </si>
  <si>
    <t>11-20 mᵌ</t>
  </si>
  <si>
    <t>21-30 mᵌ</t>
  </si>
  <si>
    <t>31-40 mᵌ</t>
  </si>
  <si>
    <t>41 &amp; UP mᵌ</t>
  </si>
  <si>
    <t>000000001</t>
  </si>
  <si>
    <t>Qty</t>
  </si>
  <si>
    <t xml:space="preserve">   Cash Sales</t>
  </si>
  <si>
    <t xml:space="preserve">   Charge Sales</t>
  </si>
  <si>
    <t>Billing Date:</t>
  </si>
  <si>
    <t>Billing Period:</t>
  </si>
  <si>
    <t>Note: 10% Penalty for late payments.</t>
  </si>
  <si>
    <t>"THIS DOCUMENT IS NOT VALID FOR CLAIM OF INPUT TAX"</t>
  </si>
  <si>
    <t>PERMIT TO USE LOOSE LEAF NO.:</t>
  </si>
  <si>
    <t>DATE ISSUED:</t>
  </si>
  <si>
    <t>BIR AUTHORITY TO PRINT NO. 00000000000000</t>
  </si>
  <si>
    <t>APPROVED SERIES: 0000000001-00080000</t>
  </si>
  <si>
    <t>June 2, 2025</t>
  </si>
  <si>
    <t>June 16, 2025</t>
  </si>
  <si>
    <t>----------------------------------------------------------------------------------------------------------------------------------------------------------------------------------</t>
  </si>
  <si>
    <t>Concessionaire's Copy</t>
  </si>
  <si>
    <t>Record's Copy</t>
  </si>
  <si>
    <t>ID No.</t>
  </si>
  <si>
    <t>00000000</t>
  </si>
  <si>
    <t>Signature:</t>
  </si>
  <si>
    <t>IGBARAS WATER DISTRICT (ILOILO)</t>
  </si>
  <si>
    <t>Stall No. O-1, Iigbaras Business Complex</t>
  </si>
  <si>
    <t>BIR Accreditation No. 0000000000</t>
  </si>
  <si>
    <t>PRINTER</t>
  </si>
  <si>
    <t>Add: Franchise Tax</t>
  </si>
  <si>
    <t>Less: Withholding Tax</t>
  </si>
  <si>
    <t>Add: SCF Installment</t>
  </si>
  <si>
    <t>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</si>
  <si>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----------------------------------------------------------------------------------</t>
  </si>
  <si>
    <t>SCF Installment</t>
  </si>
  <si>
    <t>Stall No. O-1, Igbaras Bus. Complex, M. Ezpeleta St.</t>
  </si>
  <si>
    <t xml:space="preserve">Barangay 3 Poblacion 5029, Igbaras, Iloilo </t>
  </si>
  <si>
    <r>
      <t xml:space="preserve">Less: Discount (SC/PWD/NAAC/MOV/SP)  </t>
    </r>
    <r>
      <rPr>
        <sz val="8"/>
        <color theme="1"/>
        <rFont val="Calibri"/>
        <family val="2"/>
        <scheme val="minor"/>
      </rPr>
      <t>7%</t>
    </r>
  </si>
  <si>
    <t>SC/PWD/NAAC/MOV/SP ID No.</t>
  </si>
  <si>
    <t xml:space="preserve">         Receive the amount of:</t>
  </si>
  <si>
    <t xml:space="preserve">    _____________________________</t>
  </si>
  <si>
    <t>SC/PWD/NAAC/MOV/SP Signature</t>
  </si>
  <si>
    <t xml:space="preserve">                                  National Printing Office, EDSA cor. NIA Northside Rd., Diliman, Q.C.</t>
  </si>
  <si>
    <t xml:space="preserve">                                 TIN: 000-769-754-000</t>
  </si>
  <si>
    <t xml:space="preserve">                                 BIR Accreditation No. 039MP20240000000002, JAN. 25, 2024</t>
  </si>
  <si>
    <t>APPROVED SERIES: 0000001-0012000</t>
  </si>
  <si>
    <t xml:space="preserve">BIR AUTHORITY TO PRINT NO.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</si>
</sst>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8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</font>
    <font>
      <sz val="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Arial Narrow"/>
      <family val="2"/>
    </font>
    <font>
      <b/>
      <sz val="9"/>
      <color theme="1"/>
      <name val="Arial Narrow"/>
      <family val="2"/>
    </font>
    <font>
      <sz val="6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7"/>
      <color theme="1"/>
      <name val="Calibri"/>
      <family val="2"/>
      <scheme val="minor"/>
    </font>
    <font>
      <sz val="7"/>
      <name val="Calibri"/>
      <family val="2"/>
      <scheme val="minor"/>
    </font>
    <font>
      <b/>
      <sz val="9"/>
      <color rgb="FFEE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hair">
        <color theme="1"/>
      </left>
      <right style="hair">
        <color theme="1"/>
      </right>
      <top style="thin">
        <color auto="1"/>
      </top>
      <bottom style="hair">
        <color theme="1"/>
      </bottom>
      <diagonal/>
    </border>
    <border>
      <left style="hair">
        <color theme="1"/>
      </left>
      <right style="thin">
        <color auto="1"/>
      </right>
      <top style="thin">
        <color auto="1"/>
      </top>
      <bottom style="hair">
        <color theme="1"/>
      </bottom>
      <diagonal/>
    </border>
    <border>
      <left style="hair">
        <color theme="1"/>
      </left>
      <right style="thin">
        <color auto="1"/>
      </right>
      <top style="hair">
        <color theme="1"/>
      </top>
      <bottom style="hair">
        <color theme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auto="1"/>
      </bottom>
      <diagonal/>
    </border>
    <border>
      <left style="hair">
        <color theme="1"/>
      </left>
      <right style="thin">
        <color auto="1"/>
      </right>
      <top style="hair">
        <color theme="1"/>
      </top>
      <bottom style="thin">
        <color auto="1"/>
      </bottom>
      <diagonal/>
    </border>
    <border>
      <left/>
      <right style="hair">
        <color theme="1"/>
      </right>
      <top style="thin">
        <color auto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medium">
        <color auto="1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auto="1"/>
      </top>
      <bottom/>
      <diagonal/>
    </border>
    <border>
      <left style="hair">
        <color indexed="64"/>
      </left>
      <right style="medium">
        <color auto="1"/>
      </right>
      <top style="hair">
        <color auto="1"/>
      </top>
      <bottom/>
      <diagonal/>
    </border>
    <border>
      <left style="hair">
        <color indexed="64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 style="thin">
        <color theme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theme="1"/>
      </bottom>
      <diagonal/>
    </border>
    <border>
      <left style="hair">
        <color indexed="64"/>
      </left>
      <right style="medium">
        <color auto="1"/>
      </right>
      <top style="thin">
        <color auto="1"/>
      </top>
      <bottom style="thin">
        <color theme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auto="1"/>
      </bottom>
      <diagonal/>
    </border>
    <border>
      <left style="hair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/>
      <diagonal/>
    </border>
    <border>
      <left style="hair">
        <color indexed="64"/>
      </left>
      <right style="medium">
        <color auto="1"/>
      </right>
      <top style="thin">
        <color auto="1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auto="1"/>
      </right>
      <top/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thin">
        <color auto="1"/>
      </bottom>
      <diagonal/>
    </border>
    <border>
      <left style="thin">
        <color theme="1"/>
      </left>
      <right/>
      <top style="thin">
        <color auto="1"/>
      </top>
      <bottom/>
      <diagonal/>
    </border>
    <border>
      <left style="thin">
        <color theme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50">
    <xf numFmtId="0" fontId="0" fillId="0" borderId="0" xfId="0"/>
    <xf numFmtId="1" fontId="3" fillId="0" borderId="0" xfId="0" applyNumberFormat="1" applyFont="1" applyAlignment="1">
      <alignment horizontal="center" vertical="center"/>
    </xf>
    <xf numFmtId="43" fontId="1" fillId="0" borderId="0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7" fillId="0" borderId="6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11" fillId="0" borderId="8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43" fontId="1" fillId="0" borderId="0" xfId="1" quotePrefix="1" applyFont="1" applyBorder="1" applyAlignment="1">
      <alignment horizontal="left" vertical="center"/>
    </xf>
    <xf numFmtId="0" fontId="13" fillId="0" borderId="20" xfId="1" applyNumberFormat="1" applyFont="1" applyBorder="1" applyAlignment="1">
      <alignment horizontal="center" vertical="center"/>
    </xf>
    <xf numFmtId="43" fontId="5" fillId="0" borderId="20" xfId="1" applyFont="1" applyBorder="1" applyAlignment="1">
      <alignment horizontal="right" vertical="center"/>
    </xf>
    <xf numFmtId="43" fontId="20" fillId="0" borderId="21" xfId="1" applyFont="1" applyBorder="1" applyAlignment="1">
      <alignment vertical="center"/>
    </xf>
    <xf numFmtId="43" fontId="17" fillId="0" borderId="0" xfId="1" applyFont="1" applyBorder="1" applyAlignment="1">
      <alignment horizontal="center" vertical="center"/>
    </xf>
    <xf numFmtId="43" fontId="23" fillId="0" borderId="0" xfId="1" applyFont="1" applyBorder="1" applyAlignment="1">
      <alignment vertical="center"/>
    </xf>
    <xf numFmtId="0" fontId="16" fillId="0" borderId="8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9" fontId="5" fillId="0" borderId="0" xfId="0" applyNumberFormat="1" applyFont="1" applyAlignment="1">
      <alignment horizontal="center" vertical="center"/>
    </xf>
    <xf numFmtId="43" fontId="15" fillId="0" borderId="22" xfId="1" applyFont="1" applyFill="1" applyBorder="1" applyAlignment="1">
      <alignment vertical="center"/>
    </xf>
    <xf numFmtId="0" fontId="13" fillId="0" borderId="28" xfId="1" applyNumberFormat="1" applyFont="1" applyBorder="1" applyAlignment="1">
      <alignment horizontal="center" vertical="center"/>
    </xf>
    <xf numFmtId="43" fontId="13" fillId="0" borderId="28" xfId="1" applyFont="1" applyBorder="1" applyAlignment="1">
      <alignment horizontal="right" vertical="center"/>
    </xf>
    <xf numFmtId="43" fontId="20" fillId="0" borderId="29" xfId="1" applyFont="1" applyBorder="1" applyAlignment="1">
      <alignment vertical="center"/>
    </xf>
    <xf numFmtId="9" fontId="5" fillId="0" borderId="18" xfId="0" applyNumberFormat="1" applyFont="1" applyBorder="1" applyAlignment="1">
      <alignment horizontal="center" vertical="center"/>
    </xf>
    <xf numFmtId="43" fontId="13" fillId="0" borderId="18" xfId="1" applyFont="1" applyBorder="1" applyAlignment="1">
      <alignment horizontal="center" vertical="center"/>
    </xf>
    <xf numFmtId="43" fontId="20" fillId="0" borderId="19" xfId="1" applyFont="1" applyBorder="1" applyAlignment="1">
      <alignment vertical="center"/>
    </xf>
    <xf numFmtId="9" fontId="5" fillId="0" borderId="20" xfId="0" applyNumberFormat="1" applyFont="1" applyBorder="1" applyAlignment="1">
      <alignment horizontal="center" vertical="center"/>
    </xf>
    <xf numFmtId="43" fontId="13" fillId="0" borderId="20" xfId="1" applyFont="1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9" fontId="13" fillId="0" borderId="30" xfId="0" applyNumberFormat="1" applyFont="1" applyBorder="1" applyAlignment="1">
      <alignment horizontal="center" vertical="center"/>
    </xf>
    <xf numFmtId="43" fontId="13" fillId="0" borderId="30" xfId="1" applyFont="1" applyFill="1" applyBorder="1" applyAlignment="1">
      <alignment vertical="center"/>
    </xf>
    <xf numFmtId="43" fontId="20" fillId="0" borderId="31" xfId="1" applyFont="1" applyBorder="1" applyAlignment="1">
      <alignment vertical="center"/>
    </xf>
    <xf numFmtId="9" fontId="13" fillId="0" borderId="32" xfId="0" applyNumberFormat="1" applyFont="1" applyBorder="1" applyAlignment="1">
      <alignment horizontal="center" vertical="center"/>
    </xf>
    <xf numFmtId="43" fontId="13" fillId="0" borderId="32" xfId="1" applyFont="1" applyBorder="1" applyAlignment="1">
      <alignment vertical="center"/>
    </xf>
    <xf numFmtId="43" fontId="20" fillId="0" borderId="33" xfId="1" applyFont="1" applyBorder="1" applyAlignment="1">
      <alignment vertical="center"/>
    </xf>
    <xf numFmtId="9" fontId="13" fillId="0" borderId="34" xfId="0" applyNumberFormat="1" applyFont="1" applyBorder="1" applyAlignment="1">
      <alignment horizontal="center" vertical="center"/>
    </xf>
    <xf numFmtId="43" fontId="13" fillId="0" borderId="34" xfId="1" applyFont="1" applyBorder="1" applyAlignment="1">
      <alignment vertical="center"/>
    </xf>
    <xf numFmtId="43" fontId="15" fillId="0" borderId="35" xfId="1" applyFont="1" applyBorder="1" applyAlignment="1">
      <alignment vertical="center"/>
    </xf>
    <xf numFmtId="43" fontId="17" fillId="0" borderId="6" xfId="1" applyFont="1" applyBorder="1" applyAlignment="1">
      <alignment horizontal="left" vertical="center"/>
    </xf>
    <xf numFmtId="43" fontId="17" fillId="0" borderId="6" xfId="1" applyFont="1" applyBorder="1" applyAlignment="1">
      <alignment horizontal="center" vertical="center"/>
    </xf>
    <xf numFmtId="1" fontId="17" fillId="0" borderId="6" xfId="0" applyNumberFormat="1" applyFont="1" applyBorder="1" applyAlignment="1">
      <alignment horizontal="center" vertical="center"/>
    </xf>
    <xf numFmtId="43" fontId="23" fillId="0" borderId="6" xfId="1" applyFont="1" applyBorder="1" applyAlignment="1">
      <alignment vertical="center"/>
    </xf>
    <xf numFmtId="0" fontId="17" fillId="0" borderId="6" xfId="0" applyFont="1" applyBorder="1"/>
    <xf numFmtId="0" fontId="17" fillId="0" borderId="6" xfId="0" applyFont="1" applyBorder="1" applyAlignment="1">
      <alignment horizontal="left"/>
    </xf>
    <xf numFmtId="43" fontId="17" fillId="0" borderId="0" xfId="1" applyFont="1" applyBorder="1" applyAlignment="1">
      <alignment horizontal="left" vertical="center"/>
    </xf>
    <xf numFmtId="1" fontId="17" fillId="0" borderId="0" xfId="0" applyNumberFormat="1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left"/>
    </xf>
    <xf numFmtId="43" fontId="23" fillId="0" borderId="0" xfId="1" applyFont="1" applyBorder="1" applyAlignment="1">
      <alignment horizontal="left" vertical="center"/>
    </xf>
    <xf numFmtId="43" fontId="23" fillId="0" borderId="0" xfId="1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43" fontId="15" fillId="0" borderId="9" xfId="1" applyFont="1" applyFill="1" applyBorder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4" fillId="0" borderId="0" xfId="0" quotePrefix="1" applyFont="1" applyAlignment="1">
      <alignment horizontal="right" vertical="center"/>
    </xf>
    <xf numFmtId="0" fontId="9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14" fillId="0" borderId="10" xfId="0" applyFont="1" applyBorder="1" applyAlignment="1">
      <alignment vertical="center" wrapText="1"/>
    </xf>
    <xf numFmtId="0" fontId="13" fillId="0" borderId="36" xfId="0" applyFont="1" applyBorder="1" applyAlignment="1">
      <alignment horizontal="center" vertical="center"/>
    </xf>
    <xf numFmtId="0" fontId="12" fillId="0" borderId="16" xfId="0" applyFont="1" applyBorder="1" applyAlignment="1">
      <alignment vertical="center" wrapText="1"/>
    </xf>
    <xf numFmtId="43" fontId="13" fillId="0" borderId="28" xfId="1" applyFont="1" applyBorder="1" applyAlignment="1">
      <alignment horizontal="center" vertical="center"/>
    </xf>
    <xf numFmtId="0" fontId="5" fillId="0" borderId="18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13" fillId="0" borderId="30" xfId="0" applyFont="1" applyBorder="1" applyAlignment="1">
      <alignment vertical="center"/>
    </xf>
    <xf numFmtId="0" fontId="14" fillId="0" borderId="34" xfId="0" applyFont="1" applyBorder="1" applyAlignment="1">
      <alignment vertical="center"/>
    </xf>
    <xf numFmtId="0" fontId="13" fillId="0" borderId="32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4" fillId="0" borderId="42" xfId="0" applyFont="1" applyBorder="1" applyAlignment="1">
      <alignment vertical="center" wrapText="1"/>
    </xf>
    <xf numFmtId="0" fontId="14" fillId="0" borderId="43" xfId="0" applyFont="1" applyBorder="1" applyAlignment="1">
      <alignment vertical="center" wrapText="1"/>
    </xf>
    <xf numFmtId="14" fontId="9" fillId="0" borderId="47" xfId="0" applyNumberFormat="1" applyFont="1" applyBorder="1" applyAlignment="1">
      <alignment horizontal="left" vertical="center"/>
    </xf>
    <xf numFmtId="14" fontId="9" fillId="0" borderId="48" xfId="0" applyNumberFormat="1" applyFont="1" applyBorder="1" applyAlignment="1">
      <alignment vertical="center"/>
    </xf>
    <xf numFmtId="0" fontId="5" fillId="0" borderId="49" xfId="0" applyFont="1" applyBorder="1" applyAlignment="1">
      <alignment vertical="center"/>
    </xf>
    <xf numFmtId="0" fontId="14" fillId="0" borderId="51" xfId="0" applyFont="1" applyBorder="1" applyAlignment="1">
      <alignment horizontal="center" vertical="center"/>
    </xf>
    <xf numFmtId="0" fontId="0" fillId="0" borderId="52" xfId="0" applyBorder="1" applyAlignment="1">
      <alignment vertical="center"/>
    </xf>
    <xf numFmtId="0" fontId="9" fillId="0" borderId="53" xfId="0" applyFont="1" applyBorder="1" applyAlignment="1">
      <alignment vertical="center"/>
    </xf>
    <xf numFmtId="0" fontId="13" fillId="0" borderId="54" xfId="0" applyFont="1" applyBorder="1" applyAlignment="1">
      <alignment horizontal="center" vertical="center"/>
    </xf>
    <xf numFmtId="0" fontId="0" fillId="0" borderId="55" xfId="0" applyBorder="1" applyAlignment="1">
      <alignment vertical="center"/>
    </xf>
    <xf numFmtId="0" fontId="9" fillId="0" borderId="54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9" fillId="0" borderId="49" xfId="0" applyFont="1" applyBorder="1" applyAlignment="1">
      <alignment horizontal="center" vertical="center"/>
    </xf>
    <xf numFmtId="0" fontId="12" fillId="0" borderId="32" xfId="0" applyFont="1" applyBorder="1" applyAlignment="1">
      <alignment vertical="center" wrapText="1"/>
    </xf>
    <xf numFmtId="0" fontId="5" fillId="0" borderId="32" xfId="1" applyNumberFormat="1" applyFont="1" applyBorder="1" applyAlignment="1">
      <alignment horizontal="center" vertical="center"/>
    </xf>
    <xf numFmtId="0" fontId="0" fillId="0" borderId="32" xfId="0" applyBorder="1" applyAlignment="1">
      <alignment vertical="center"/>
    </xf>
    <xf numFmtId="43" fontId="10" fillId="0" borderId="33" xfId="0" applyNumberFormat="1" applyFont="1" applyBorder="1" applyAlignment="1">
      <alignment vertical="center"/>
    </xf>
    <xf numFmtId="0" fontId="4" fillId="0" borderId="43" xfId="0" applyFont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19" fillId="0" borderId="27" xfId="0" applyFont="1" applyBorder="1" applyAlignment="1">
      <alignment horizontal="right" vertical="center"/>
    </xf>
    <xf numFmtId="0" fontId="12" fillId="0" borderId="1" xfId="0" applyFont="1" applyBorder="1" applyAlignment="1">
      <alignment vertical="center" wrapText="1"/>
    </xf>
    <xf numFmtId="0" fontId="4" fillId="0" borderId="64" xfId="0" applyFont="1" applyBorder="1" applyAlignment="1">
      <alignment vertical="center"/>
    </xf>
    <xf numFmtId="0" fontId="19" fillId="0" borderId="65" xfId="0" applyFont="1" applyBorder="1" applyAlignment="1">
      <alignment vertical="center"/>
    </xf>
    <xf numFmtId="0" fontId="19" fillId="0" borderId="66" xfId="0" applyFont="1" applyBorder="1" applyAlignment="1">
      <alignment horizontal="right" vertical="center"/>
    </xf>
    <xf numFmtId="0" fontId="4" fillId="0" borderId="55" xfId="0" applyFont="1" applyBorder="1" applyAlignment="1">
      <alignment vertical="center"/>
    </xf>
    <xf numFmtId="0" fontId="13" fillId="0" borderId="67" xfId="0" applyFont="1" applyBorder="1" applyAlignment="1">
      <alignment vertical="center"/>
    </xf>
    <xf numFmtId="0" fontId="0" fillId="0" borderId="6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69" xfId="0" applyBorder="1" applyAlignment="1">
      <alignment vertical="center"/>
    </xf>
    <xf numFmtId="0" fontId="0" fillId="0" borderId="70" xfId="0" applyBorder="1" applyAlignment="1">
      <alignment vertical="center"/>
    </xf>
    <xf numFmtId="0" fontId="0" fillId="0" borderId="71" xfId="0" applyBorder="1" applyAlignment="1">
      <alignment vertical="center"/>
    </xf>
    <xf numFmtId="0" fontId="0" fillId="0" borderId="68" xfId="0" quotePrefix="1" applyBorder="1" applyAlignment="1">
      <alignment vertical="center"/>
    </xf>
    <xf numFmtId="0" fontId="0" fillId="0" borderId="72" xfId="0" applyBorder="1" applyAlignment="1">
      <alignment vertical="center"/>
    </xf>
    <xf numFmtId="0" fontId="12" fillId="0" borderId="75" xfId="0" applyFont="1" applyBorder="1" applyAlignment="1">
      <alignment vertical="center" wrapText="1"/>
    </xf>
    <xf numFmtId="0" fontId="5" fillId="0" borderId="76" xfId="1" applyNumberFormat="1" applyFont="1" applyBorder="1" applyAlignment="1">
      <alignment horizontal="center" vertical="center"/>
    </xf>
    <xf numFmtId="0" fontId="0" fillId="0" borderId="76" xfId="0" applyBorder="1" applyAlignment="1">
      <alignment vertical="center"/>
    </xf>
    <xf numFmtId="43" fontId="10" fillId="0" borderId="77" xfId="0" applyNumberFormat="1" applyFont="1" applyBorder="1" applyAlignment="1">
      <alignment vertical="center"/>
    </xf>
    <xf numFmtId="43" fontId="13" fillId="0" borderId="81" xfId="1" applyFont="1" applyBorder="1" applyAlignment="1">
      <alignment horizontal="center" vertical="center"/>
    </xf>
    <xf numFmtId="0" fontId="13" fillId="0" borderId="82" xfId="1" applyNumberFormat="1" applyFont="1" applyBorder="1" applyAlignment="1">
      <alignment horizontal="center" vertical="center"/>
    </xf>
    <xf numFmtId="43" fontId="5" fillId="0" borderId="82" xfId="1" applyFont="1" applyBorder="1" applyAlignment="1">
      <alignment horizontal="right" vertical="center"/>
    </xf>
    <xf numFmtId="43" fontId="20" fillId="0" borderId="83" xfId="1" applyFont="1" applyBorder="1" applyAlignment="1">
      <alignment vertical="center"/>
    </xf>
    <xf numFmtId="43" fontId="13" fillId="0" borderId="84" xfId="1" applyFont="1" applyBorder="1" applyAlignment="1">
      <alignment horizontal="center" vertical="center"/>
    </xf>
    <xf numFmtId="0" fontId="13" fillId="0" borderId="13" xfId="1" applyNumberFormat="1" applyFont="1" applyBorder="1" applyAlignment="1">
      <alignment horizontal="center" vertical="center"/>
    </xf>
    <xf numFmtId="43" fontId="13" fillId="0" borderId="13" xfId="1" applyFont="1" applyBorder="1" applyAlignment="1">
      <alignment horizontal="right" vertical="center"/>
    </xf>
    <xf numFmtId="43" fontId="20" fillId="0" borderId="85" xfId="1" applyFont="1" applyBorder="1" applyAlignment="1">
      <alignment vertical="center"/>
    </xf>
    <xf numFmtId="9" fontId="5" fillId="0" borderId="79" xfId="0" applyNumberFormat="1" applyFont="1" applyBorder="1" applyAlignment="1">
      <alignment horizontal="center" vertical="center"/>
    </xf>
    <xf numFmtId="43" fontId="13" fillId="0" borderId="79" xfId="1" applyFont="1" applyBorder="1" applyAlignment="1">
      <alignment horizontal="center" vertical="center"/>
    </xf>
    <xf numFmtId="43" fontId="20" fillId="0" borderId="80" xfId="1" applyFont="1" applyBorder="1" applyAlignment="1">
      <alignment vertical="center"/>
    </xf>
    <xf numFmtId="0" fontId="5" fillId="0" borderId="81" xfId="0" applyFont="1" applyBorder="1" applyAlignment="1">
      <alignment vertical="center"/>
    </xf>
    <xf numFmtId="9" fontId="5" fillId="0" borderId="82" xfId="0" applyNumberFormat="1" applyFont="1" applyBorder="1" applyAlignment="1">
      <alignment horizontal="center" vertical="center"/>
    </xf>
    <xf numFmtId="43" fontId="13" fillId="0" borderId="82" xfId="1" applyFont="1" applyBorder="1" applyAlignment="1">
      <alignment horizontal="center" vertical="center"/>
    </xf>
    <xf numFmtId="0" fontId="0" fillId="0" borderId="82" xfId="0" applyBorder="1" applyAlignment="1">
      <alignment vertical="center"/>
    </xf>
    <xf numFmtId="0" fontId="0" fillId="0" borderId="83" xfId="0" applyBorder="1" applyAlignment="1">
      <alignment vertical="center"/>
    </xf>
    <xf numFmtId="0" fontId="13" fillId="0" borderId="81" xfId="0" applyFont="1" applyBorder="1" applyAlignment="1">
      <alignment vertical="center"/>
    </xf>
    <xf numFmtId="9" fontId="13" fillId="0" borderId="82" xfId="0" applyNumberFormat="1" applyFont="1" applyBorder="1" applyAlignment="1">
      <alignment horizontal="center" vertical="center"/>
    </xf>
    <xf numFmtId="43" fontId="13" fillId="0" borderId="82" xfId="1" applyFont="1" applyFill="1" applyBorder="1" applyAlignment="1">
      <alignment vertical="center"/>
    </xf>
    <xf numFmtId="0" fontId="0" fillId="0" borderId="86" xfId="0" applyBorder="1" applyAlignment="1">
      <alignment vertical="center"/>
    </xf>
    <xf numFmtId="0" fontId="14" fillId="0" borderId="87" xfId="0" applyFont="1" applyBorder="1" applyAlignment="1">
      <alignment vertical="center"/>
    </xf>
    <xf numFmtId="9" fontId="13" fillId="0" borderId="88" xfId="0" applyNumberFormat="1" applyFont="1" applyBorder="1" applyAlignment="1">
      <alignment horizontal="center" vertical="center"/>
    </xf>
    <xf numFmtId="43" fontId="13" fillId="0" borderId="88" xfId="1" applyFont="1" applyBorder="1" applyAlignment="1">
      <alignment vertical="center"/>
    </xf>
    <xf numFmtId="43" fontId="15" fillId="0" borderId="89" xfId="1" applyFont="1" applyBorder="1" applyAlignment="1">
      <alignment vertical="center"/>
    </xf>
    <xf numFmtId="0" fontId="13" fillId="0" borderId="75" xfId="0" applyFont="1" applyBorder="1" applyAlignment="1">
      <alignment vertical="center"/>
    </xf>
    <xf numFmtId="9" fontId="13" fillId="0" borderId="76" xfId="0" applyNumberFormat="1" applyFont="1" applyBorder="1" applyAlignment="1">
      <alignment horizontal="center" vertical="center"/>
    </xf>
    <xf numFmtId="43" fontId="13" fillId="0" borderId="76" xfId="1" applyFont="1" applyBorder="1" applyAlignment="1">
      <alignment vertical="center"/>
    </xf>
    <xf numFmtId="43" fontId="20" fillId="0" borderId="77" xfId="1" applyFont="1" applyBorder="1" applyAlignment="1">
      <alignment vertical="center"/>
    </xf>
    <xf numFmtId="0" fontId="14" fillId="0" borderId="90" xfId="0" applyFont="1" applyBorder="1" applyAlignment="1">
      <alignment vertical="center"/>
    </xf>
    <xf numFmtId="0" fontId="14" fillId="0" borderId="91" xfId="0" applyFont="1" applyBorder="1" applyAlignment="1">
      <alignment vertical="center" wrapText="1"/>
    </xf>
    <xf numFmtId="43" fontId="15" fillId="0" borderId="92" xfId="1" applyFont="1" applyFill="1" applyBorder="1" applyAlignment="1">
      <alignment vertical="center"/>
    </xf>
    <xf numFmtId="0" fontId="12" fillId="0" borderId="93" xfId="0" applyFont="1" applyBorder="1" applyAlignment="1">
      <alignment vertical="center" wrapText="1"/>
    </xf>
    <xf numFmtId="0" fontId="0" fillId="0" borderId="98" xfId="0" applyBorder="1" applyAlignment="1">
      <alignment vertical="center"/>
    </xf>
    <xf numFmtId="0" fontId="25" fillId="0" borderId="78" xfId="0" applyFont="1" applyBorder="1" applyAlignment="1">
      <alignment vertical="center"/>
    </xf>
    <xf numFmtId="0" fontId="4" fillId="0" borderId="104" xfId="0" applyFont="1" applyBorder="1" applyAlignment="1">
      <alignment vertical="center"/>
    </xf>
    <xf numFmtId="0" fontId="5" fillId="0" borderId="105" xfId="0" applyFont="1" applyBorder="1" applyAlignment="1">
      <alignment vertical="center"/>
    </xf>
    <xf numFmtId="0" fontId="14" fillId="0" borderId="46" xfId="0" applyFont="1" applyBorder="1" applyAlignment="1">
      <alignment vertical="center"/>
    </xf>
    <xf numFmtId="0" fontId="14" fillId="0" borderId="56" xfId="0" applyFont="1" applyBorder="1" applyAlignment="1">
      <alignment vertical="center"/>
    </xf>
    <xf numFmtId="0" fontId="18" fillId="0" borderId="106" xfId="0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14" fillId="0" borderId="107" xfId="0" applyFont="1" applyBorder="1" applyAlignment="1">
      <alignment vertical="center"/>
    </xf>
    <xf numFmtId="0" fontId="5" fillId="0" borderId="46" xfId="0" applyFont="1" applyBorder="1" applyAlignment="1">
      <alignment vertical="center"/>
    </xf>
    <xf numFmtId="0" fontId="18" fillId="0" borderId="10" xfId="0" applyFont="1" applyBorder="1" applyAlignment="1">
      <alignment vertical="center"/>
    </xf>
    <xf numFmtId="0" fontId="24" fillId="0" borderId="45" xfId="0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 vertical="center" wrapText="1"/>
    </xf>
    <xf numFmtId="0" fontId="24" fillId="0" borderId="56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44" xfId="0" applyFont="1" applyBorder="1" applyAlignment="1">
      <alignment horizontal="center" vertical="center" wrapText="1"/>
    </xf>
    <xf numFmtId="0" fontId="24" fillId="0" borderId="50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4" fillId="0" borderId="58" xfId="0" quotePrefix="1" applyFont="1" applyBorder="1" applyAlignment="1">
      <alignment horizontal="center" vertical="center" wrapText="1"/>
    </xf>
    <xf numFmtId="0" fontId="4" fillId="0" borderId="60" xfId="0" quotePrefix="1" applyFont="1" applyBorder="1" applyAlignment="1">
      <alignment horizontal="center" vertical="center" wrapText="1"/>
    </xf>
    <xf numFmtId="0" fontId="14" fillId="0" borderId="58" xfId="0" applyFont="1" applyBorder="1" applyAlignment="1">
      <alignment horizontal="center" vertical="center"/>
    </xf>
    <xf numFmtId="0" fontId="14" fillId="0" borderId="59" xfId="0" applyFont="1" applyBorder="1" applyAlignment="1">
      <alignment horizontal="center" vertical="center"/>
    </xf>
    <xf numFmtId="0" fontId="14" fillId="0" borderId="60" xfId="0" applyFont="1" applyBorder="1" applyAlignment="1">
      <alignment horizontal="center" vertical="center"/>
    </xf>
    <xf numFmtId="0" fontId="14" fillId="0" borderId="61" xfId="0" applyFont="1" applyBorder="1" applyAlignment="1">
      <alignment horizontal="center" vertical="center"/>
    </xf>
    <xf numFmtId="43" fontId="5" fillId="0" borderId="18" xfId="1" applyFont="1" applyBorder="1" applyAlignment="1">
      <alignment horizontal="center" vertical="center"/>
    </xf>
    <xf numFmtId="43" fontId="5" fillId="0" borderId="20" xfId="1" applyFont="1" applyBorder="1" applyAlignment="1">
      <alignment horizontal="center" vertical="center"/>
    </xf>
    <xf numFmtId="164" fontId="5" fillId="0" borderId="18" xfId="1" applyNumberFormat="1" applyFont="1" applyBorder="1" applyAlignment="1">
      <alignment horizontal="center" vertical="center"/>
    </xf>
    <xf numFmtId="164" fontId="5" fillId="0" borderId="20" xfId="1" applyNumberFormat="1" applyFont="1" applyBorder="1" applyAlignment="1">
      <alignment horizontal="center" vertical="center"/>
    </xf>
    <xf numFmtId="43" fontId="20" fillId="0" borderId="19" xfId="1" applyFont="1" applyBorder="1" applyAlignment="1">
      <alignment horizontal="center" vertical="center"/>
    </xf>
    <xf numFmtId="43" fontId="20" fillId="0" borderId="21" xfId="1" applyFont="1" applyBorder="1" applyAlignment="1">
      <alignment horizontal="center" vertical="center"/>
    </xf>
    <xf numFmtId="0" fontId="14" fillId="0" borderId="54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49" xfId="0" applyFont="1" applyBorder="1" applyAlignment="1">
      <alignment horizontal="center" vertical="center"/>
    </xf>
    <xf numFmtId="43" fontId="1" fillId="0" borderId="0" xfId="1" applyFont="1" applyBorder="1" applyAlignment="1">
      <alignment horizontal="righ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23" xfId="0" applyFont="1" applyBorder="1" applyAlignment="1">
      <alignment horizontal="left" vertical="center"/>
    </xf>
    <xf numFmtId="0" fontId="18" fillId="0" borderId="38" xfId="0" applyFont="1" applyBorder="1" applyAlignment="1">
      <alignment horizontal="left" vertical="center"/>
    </xf>
    <xf numFmtId="0" fontId="18" fillId="0" borderId="24" xfId="0" applyFont="1" applyBorder="1" applyAlignment="1">
      <alignment horizontal="left" vertical="center"/>
    </xf>
    <xf numFmtId="0" fontId="18" fillId="0" borderId="39" xfId="0" applyFont="1" applyBorder="1" applyAlignment="1">
      <alignment horizontal="left"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32" xfId="0" applyFont="1" applyBorder="1" applyAlignment="1">
      <alignment horizontal="left" vertical="center" wrapText="1"/>
    </xf>
    <xf numFmtId="0" fontId="4" fillId="0" borderId="62" xfId="0" applyFont="1" applyBorder="1" applyAlignment="1">
      <alignment horizontal="right" vertical="center"/>
    </xf>
    <xf numFmtId="0" fontId="19" fillId="0" borderId="63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right" vertical="center"/>
    </xf>
    <xf numFmtId="0" fontId="4" fillId="0" borderId="41" xfId="0" applyFont="1" applyBorder="1" applyAlignment="1">
      <alignment horizontal="right" vertical="center"/>
    </xf>
    <xf numFmtId="0" fontId="19" fillId="0" borderId="26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27" fillId="0" borderId="45" xfId="0" applyFont="1" applyBorder="1" applyAlignment="1">
      <alignment horizontal="center" vertical="center" wrapText="1"/>
    </xf>
    <xf numFmtId="0" fontId="27" fillId="0" borderId="46" xfId="0" applyFont="1" applyBorder="1" applyAlignment="1">
      <alignment horizontal="center" vertical="center" wrapText="1"/>
    </xf>
    <xf numFmtId="0" fontId="27" fillId="0" borderId="56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44" xfId="0" applyFont="1" applyBorder="1" applyAlignment="1">
      <alignment horizontal="center" vertical="center" wrapText="1"/>
    </xf>
    <xf numFmtId="0" fontId="27" fillId="0" borderId="103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107" xfId="0" applyFont="1" applyBorder="1" applyAlignment="1">
      <alignment horizontal="center" vertical="center" wrapText="1"/>
    </xf>
    <xf numFmtId="0" fontId="26" fillId="0" borderId="99" xfId="0" applyFont="1" applyBorder="1" applyAlignment="1">
      <alignment horizontal="center" vertical="center" wrapText="1"/>
    </xf>
    <xf numFmtId="0" fontId="26" fillId="0" borderId="79" xfId="0" applyFont="1" applyBorder="1" applyAlignment="1">
      <alignment horizontal="center" vertical="center" wrapText="1"/>
    </xf>
    <xf numFmtId="0" fontId="26" fillId="0" borderId="101" xfId="0" applyFont="1" applyBorder="1" applyAlignment="1">
      <alignment horizontal="center" vertical="center" wrapText="1"/>
    </xf>
    <xf numFmtId="0" fontId="26" fillId="0" borderId="82" xfId="0" applyFont="1" applyBorder="1" applyAlignment="1">
      <alignment horizontal="center" vertical="center" wrapText="1"/>
    </xf>
    <xf numFmtId="0" fontId="15" fillId="0" borderId="100" xfId="0" applyFont="1" applyBorder="1" applyAlignment="1">
      <alignment horizontal="center" vertical="center"/>
    </xf>
    <xf numFmtId="0" fontId="15" fillId="0" borderId="102" xfId="0" applyFont="1" applyBorder="1" applyAlignment="1">
      <alignment horizontal="center" vertical="center"/>
    </xf>
    <xf numFmtId="0" fontId="26" fillId="0" borderId="108" xfId="0" applyFont="1" applyBorder="1" applyAlignment="1">
      <alignment horizontal="center" vertical="center" wrapText="1"/>
    </xf>
    <xf numFmtId="0" fontId="26" fillId="0" borderId="109" xfId="0" applyFont="1" applyBorder="1" applyAlignment="1">
      <alignment horizontal="center" vertical="center" wrapText="1"/>
    </xf>
    <xf numFmtId="0" fontId="15" fillId="0" borderId="110" xfId="0" applyFont="1" applyBorder="1" applyAlignment="1">
      <alignment horizontal="center" vertical="center"/>
    </xf>
    <xf numFmtId="43" fontId="20" fillId="0" borderId="80" xfId="1" applyFont="1" applyBorder="1" applyAlignment="1">
      <alignment horizontal="center" vertical="center"/>
    </xf>
    <xf numFmtId="43" fontId="20" fillId="0" borderId="83" xfId="1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 wrapText="1"/>
    </xf>
    <xf numFmtId="0" fontId="9" fillId="0" borderId="96" xfId="0" applyFont="1" applyBorder="1" applyAlignment="1">
      <alignment horizontal="center" vertical="center" wrapText="1"/>
    </xf>
    <xf numFmtId="0" fontId="9" fillId="0" borderId="76" xfId="0" applyFont="1" applyBorder="1" applyAlignment="1">
      <alignment horizontal="center" vertical="center" wrapText="1"/>
    </xf>
    <xf numFmtId="0" fontId="9" fillId="0" borderId="94" xfId="0" applyFont="1" applyBorder="1" applyAlignment="1">
      <alignment horizontal="center" vertical="center" wrapText="1"/>
    </xf>
    <xf numFmtId="0" fontId="9" fillId="0" borderId="97" xfId="0" applyFont="1" applyBorder="1" applyAlignment="1">
      <alignment horizontal="center" vertical="center" wrapText="1"/>
    </xf>
    <xf numFmtId="0" fontId="9" fillId="0" borderId="77" xfId="0" applyFont="1" applyBorder="1" applyAlignment="1">
      <alignment horizontal="center" vertical="center" wrapText="1"/>
    </xf>
    <xf numFmtId="0" fontId="12" fillId="0" borderId="95" xfId="0" applyFont="1" applyBorder="1" applyAlignment="1">
      <alignment horizontal="left" vertical="center" wrapText="1"/>
    </xf>
    <xf numFmtId="0" fontId="12" fillId="0" borderId="75" xfId="0" applyFont="1" applyBorder="1" applyAlignment="1">
      <alignment horizontal="left" vertical="center" wrapText="1"/>
    </xf>
    <xf numFmtId="43" fontId="5" fillId="0" borderId="78" xfId="1" applyFont="1" applyBorder="1" applyAlignment="1">
      <alignment horizontal="center" vertical="center"/>
    </xf>
    <xf numFmtId="43" fontId="5" fillId="0" borderId="81" xfId="1" applyFont="1" applyBorder="1" applyAlignment="1">
      <alignment horizontal="center" vertical="center"/>
    </xf>
    <xf numFmtId="164" fontId="5" fillId="0" borderId="79" xfId="1" applyNumberFormat="1" applyFont="1" applyBorder="1" applyAlignment="1">
      <alignment horizontal="center" vertical="center"/>
    </xf>
    <xf numFmtId="164" fontId="5" fillId="0" borderId="82" xfId="1" applyNumberFormat="1" applyFont="1" applyBorder="1" applyAlignment="1">
      <alignment horizontal="center" vertical="center"/>
    </xf>
    <xf numFmtId="43" fontId="5" fillId="0" borderId="79" xfId="1" applyFont="1" applyBorder="1" applyAlignment="1">
      <alignment horizontal="center" vertical="center"/>
    </xf>
    <xf numFmtId="43" fontId="5" fillId="0" borderId="82" xfId="1" applyFont="1" applyBorder="1" applyAlignment="1">
      <alignment horizontal="center" vertical="center"/>
    </xf>
    <xf numFmtId="0" fontId="9" fillId="0" borderId="73" xfId="0" applyFont="1" applyBorder="1" applyAlignment="1">
      <alignment horizontal="center" vertical="center" wrapText="1"/>
    </xf>
    <xf numFmtId="0" fontId="9" fillId="0" borderId="74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FF99"/>
      <color rgb="FFFFFF66"/>
      <color rgb="FFCCFFCC"/>
      <color rgb="FFCCFF99"/>
      <color rgb="FFFF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650624</xdr:colOff>
      <xdr:row>0</xdr:row>
      <xdr:rowOff>60864</xdr:rowOff>
    </xdr:from>
    <xdr:to>
      <xdr:col>5</xdr:col>
      <xdr:colOff>370442</xdr:colOff>
      <xdr:row>3</xdr:row>
      <xdr:rowOff>46894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7670" y="60864"/>
          <a:ext cx="434926" cy="40806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41034</xdr:colOff>
      <xdr:row>0</xdr:row>
      <xdr:rowOff>76206</xdr:rowOff>
    </xdr:from>
    <xdr:to>
      <xdr:col>1</xdr:col>
      <xdr:colOff>231691</xdr:colOff>
      <xdr:row>3</xdr:row>
      <xdr:rowOff>52249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C0C00B-BB37-4124-9886-1F8042C5D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34" y="76206"/>
          <a:ext cx="360642" cy="398074"/>
        </a:xfrm>
        <a:prstGeom prst="rect">
          <a:avLst/>
        </a:prstGeom>
      </xdr:spPr>
    </xdr:pic>
    <xdr:clientData/>
  </xdr:twoCellAnchor>
  <xdr:twoCellAnchor>
    <xdr:from>
      <xdr:col>0</xdr:col>
      <xdr:colOff>117240</xdr:colOff>
      <xdr:row>7</xdr:row>
      <xdr:rowOff>23448</xdr:rowOff>
    </xdr:from>
    <xdr:to>
      <xdr:col>1</xdr:col>
      <xdr:colOff>58615</xdr:colOff>
      <xdr:row>8</xdr:row>
      <xdr:rowOff>17585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5C9819A-B920-4635-A7BB-4F58C25E74BB}"/>
            </a:ext>
          </a:extLst>
        </xdr:cNvPr>
        <xdr:cNvSpPr/>
      </xdr:nvSpPr>
      <xdr:spPr>
        <a:xfrm>
          <a:off x="117240" y="961294"/>
          <a:ext cx="111360" cy="117229"/>
        </a:xfrm>
        <a:prstGeom prst="rect">
          <a:avLst/>
        </a:prstGeom>
        <a:solidFill>
          <a:schemeClr val="bg1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0</xdr:col>
      <xdr:colOff>111378</xdr:colOff>
      <xdr:row>9</xdr:row>
      <xdr:rowOff>35172</xdr:rowOff>
    </xdr:from>
    <xdr:to>
      <xdr:col>1</xdr:col>
      <xdr:colOff>46892</xdr:colOff>
      <xdr:row>9</xdr:row>
      <xdr:rowOff>146539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AB86AEBA-69FE-4B81-A05C-EB28AF25791F}"/>
            </a:ext>
          </a:extLst>
        </xdr:cNvPr>
        <xdr:cNvSpPr/>
      </xdr:nvSpPr>
      <xdr:spPr>
        <a:xfrm>
          <a:off x="111378" y="1125418"/>
          <a:ext cx="105499" cy="111367"/>
        </a:xfrm>
        <a:prstGeom prst="rect">
          <a:avLst/>
        </a:prstGeom>
        <a:solidFill>
          <a:schemeClr val="bg1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1100"/>
            <a:t>//</a:t>
          </a:r>
        </a:p>
      </xdr:txBody>
    </xdr:sp>
    <xdr:clientData/>
  </xdr:twoCellAnchor>
  <xdr:twoCellAnchor>
    <xdr:from>
      <xdr:col>0</xdr:col>
      <xdr:colOff>123094</xdr:colOff>
      <xdr:row>9</xdr:row>
      <xdr:rowOff>35169</xdr:rowOff>
    </xdr:from>
    <xdr:to>
      <xdr:col>1</xdr:col>
      <xdr:colOff>52750</xdr:colOff>
      <xdr:row>9</xdr:row>
      <xdr:rowOff>146539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D1190ACA-017B-CFC1-DBAD-CB2504263109}"/>
            </a:ext>
          </a:extLst>
        </xdr:cNvPr>
        <xdr:cNvCxnSpPr/>
      </xdr:nvCxnSpPr>
      <xdr:spPr>
        <a:xfrm flipV="1">
          <a:off x="123094" y="1125415"/>
          <a:ext cx="99641" cy="11137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105511</xdr:colOff>
      <xdr:row>33</xdr:row>
      <xdr:rowOff>29310</xdr:rowOff>
    </xdr:from>
    <xdr:to>
      <xdr:col>1</xdr:col>
      <xdr:colOff>46886</xdr:colOff>
      <xdr:row>34</xdr:row>
      <xdr:rowOff>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6D8B7E4B-9789-4CF1-AA79-4B0881EF63EE}"/>
            </a:ext>
          </a:extLst>
        </xdr:cNvPr>
        <xdr:cNvSpPr/>
      </xdr:nvSpPr>
      <xdr:spPr>
        <a:xfrm>
          <a:off x="105511" y="4484079"/>
          <a:ext cx="111360" cy="117229"/>
        </a:xfrm>
        <a:prstGeom prst="rect">
          <a:avLst/>
        </a:prstGeom>
        <a:solidFill>
          <a:schemeClr val="bg1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0</xdr:col>
      <xdr:colOff>111378</xdr:colOff>
      <xdr:row>59</xdr:row>
      <xdr:rowOff>41034</xdr:rowOff>
    </xdr:from>
    <xdr:to>
      <xdr:col>1</xdr:col>
      <xdr:colOff>52753</xdr:colOff>
      <xdr:row>60</xdr:row>
      <xdr:rowOff>5863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AD942DB6-0372-4130-A5E2-AA77E9118B3C}"/>
            </a:ext>
          </a:extLst>
        </xdr:cNvPr>
        <xdr:cNvSpPr/>
      </xdr:nvSpPr>
      <xdr:spPr>
        <a:xfrm>
          <a:off x="111378" y="8053757"/>
          <a:ext cx="111360" cy="117229"/>
        </a:xfrm>
        <a:prstGeom prst="rect">
          <a:avLst/>
        </a:prstGeom>
        <a:solidFill>
          <a:schemeClr val="bg1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0</xdr:col>
      <xdr:colOff>111372</xdr:colOff>
      <xdr:row>35</xdr:row>
      <xdr:rowOff>46896</xdr:rowOff>
    </xdr:from>
    <xdr:to>
      <xdr:col>1</xdr:col>
      <xdr:colOff>46886</xdr:colOff>
      <xdr:row>36</xdr:row>
      <xdr:rowOff>5863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546EC93B-BF95-4B93-BF88-0A3E1538DA90}"/>
            </a:ext>
          </a:extLst>
        </xdr:cNvPr>
        <xdr:cNvSpPr/>
      </xdr:nvSpPr>
      <xdr:spPr>
        <a:xfrm>
          <a:off x="111372" y="4677511"/>
          <a:ext cx="105499" cy="111367"/>
        </a:xfrm>
        <a:prstGeom prst="rect">
          <a:avLst/>
        </a:prstGeom>
        <a:solidFill>
          <a:schemeClr val="bg1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1100"/>
            <a:t>//</a:t>
          </a:r>
        </a:p>
      </xdr:txBody>
    </xdr:sp>
    <xdr:clientData/>
  </xdr:twoCellAnchor>
  <xdr:twoCellAnchor>
    <xdr:from>
      <xdr:col>0</xdr:col>
      <xdr:colOff>111378</xdr:colOff>
      <xdr:row>61</xdr:row>
      <xdr:rowOff>41032</xdr:rowOff>
    </xdr:from>
    <xdr:to>
      <xdr:col>1</xdr:col>
      <xdr:colOff>46892</xdr:colOff>
      <xdr:row>61</xdr:row>
      <xdr:rowOff>152399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6D96535D-3701-4AD8-B896-F5216828850E}"/>
            </a:ext>
          </a:extLst>
        </xdr:cNvPr>
        <xdr:cNvSpPr/>
      </xdr:nvSpPr>
      <xdr:spPr>
        <a:xfrm>
          <a:off x="111378" y="8235463"/>
          <a:ext cx="105499" cy="111367"/>
        </a:xfrm>
        <a:prstGeom prst="rect">
          <a:avLst/>
        </a:prstGeom>
        <a:solidFill>
          <a:schemeClr val="bg1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1100"/>
            <a:t>//</a:t>
          </a:r>
        </a:p>
      </xdr:txBody>
    </xdr:sp>
    <xdr:clientData/>
  </xdr:twoCellAnchor>
  <xdr:twoCellAnchor>
    <xdr:from>
      <xdr:col>0</xdr:col>
      <xdr:colOff>117237</xdr:colOff>
      <xdr:row>35</xdr:row>
      <xdr:rowOff>52758</xdr:rowOff>
    </xdr:from>
    <xdr:to>
      <xdr:col>1</xdr:col>
      <xdr:colOff>46893</xdr:colOff>
      <xdr:row>36</xdr:row>
      <xdr:rowOff>11728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7A228F91-3979-487B-B31B-34C7BE0C6FE9}"/>
            </a:ext>
          </a:extLst>
        </xdr:cNvPr>
        <xdr:cNvCxnSpPr/>
      </xdr:nvCxnSpPr>
      <xdr:spPr>
        <a:xfrm flipV="1">
          <a:off x="117237" y="4683373"/>
          <a:ext cx="99641" cy="11137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111377</xdr:colOff>
      <xdr:row>61</xdr:row>
      <xdr:rowOff>46896</xdr:rowOff>
    </xdr:from>
    <xdr:to>
      <xdr:col>1</xdr:col>
      <xdr:colOff>41033</xdr:colOff>
      <xdr:row>62</xdr:row>
      <xdr:rowOff>5866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93534754-2B25-47FC-ACC3-96AF0FE678B1}"/>
            </a:ext>
          </a:extLst>
        </xdr:cNvPr>
        <xdr:cNvCxnSpPr/>
      </xdr:nvCxnSpPr>
      <xdr:spPr>
        <a:xfrm flipV="1">
          <a:off x="111377" y="8241327"/>
          <a:ext cx="99641" cy="11137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650624</xdr:colOff>
      <xdr:row>26</xdr:row>
      <xdr:rowOff>60864</xdr:rowOff>
    </xdr:from>
    <xdr:to>
      <xdr:col>5</xdr:col>
      <xdr:colOff>370442</xdr:colOff>
      <xdr:row>29</xdr:row>
      <xdr:rowOff>46894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9188BB0-3F41-432F-B7AD-D100B9747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3178" y="60864"/>
          <a:ext cx="434926" cy="40806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41034</xdr:colOff>
      <xdr:row>26</xdr:row>
      <xdr:rowOff>76206</xdr:rowOff>
    </xdr:from>
    <xdr:ext cx="360642" cy="398074"/>
    <xdr:pic>
      <xdr:nvPicPr>
        <xdr:cNvPr id="7" name="Picture 6">
          <a:extLst>
            <a:ext uri="{FF2B5EF4-FFF2-40B4-BE49-F238E27FC236}">
              <a16:creationId xmlns:a16="http://schemas.microsoft.com/office/drawing/2014/main" id="{93AD68B0-8EDC-49CD-BC20-3B7A34412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34" y="76206"/>
          <a:ext cx="360642" cy="398074"/>
        </a:xfrm>
        <a:prstGeom prst="rect">
          <a:avLst/>
        </a:prstGeom>
      </xdr:spPr>
    </xdr:pic>
    <xdr:clientData/>
  </xdr:oneCellAnchor>
  <xdr:twoCellAnchor>
    <xdr:from>
      <xdr:col>0</xdr:col>
      <xdr:colOff>117240</xdr:colOff>
      <xdr:row>33</xdr:row>
      <xdr:rowOff>23448</xdr:rowOff>
    </xdr:from>
    <xdr:to>
      <xdr:col>1</xdr:col>
      <xdr:colOff>58615</xdr:colOff>
      <xdr:row>34</xdr:row>
      <xdr:rowOff>17585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B86A726-53DD-4814-A7DC-AF3137868383}"/>
            </a:ext>
          </a:extLst>
        </xdr:cNvPr>
        <xdr:cNvSpPr/>
      </xdr:nvSpPr>
      <xdr:spPr>
        <a:xfrm>
          <a:off x="117240" y="926125"/>
          <a:ext cx="111360" cy="117229"/>
        </a:xfrm>
        <a:prstGeom prst="rect">
          <a:avLst/>
        </a:prstGeom>
        <a:solidFill>
          <a:schemeClr val="bg1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0</xdr:col>
      <xdr:colOff>111378</xdr:colOff>
      <xdr:row>35</xdr:row>
      <xdr:rowOff>35172</xdr:rowOff>
    </xdr:from>
    <xdr:to>
      <xdr:col>1</xdr:col>
      <xdr:colOff>46892</xdr:colOff>
      <xdr:row>35</xdr:row>
      <xdr:rowOff>146539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7C9B6A85-3A7C-45A7-81C1-CED29AC8435F}"/>
            </a:ext>
          </a:extLst>
        </xdr:cNvPr>
        <xdr:cNvSpPr/>
      </xdr:nvSpPr>
      <xdr:spPr>
        <a:xfrm>
          <a:off x="111378" y="1090249"/>
          <a:ext cx="105499" cy="111367"/>
        </a:xfrm>
        <a:prstGeom prst="rect">
          <a:avLst/>
        </a:prstGeom>
        <a:solidFill>
          <a:schemeClr val="bg1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1100"/>
            <a:t>//</a:t>
          </a:r>
        </a:p>
      </xdr:txBody>
    </xdr:sp>
    <xdr:clientData/>
  </xdr:twoCellAnchor>
  <xdr:twoCellAnchor>
    <xdr:from>
      <xdr:col>0</xdr:col>
      <xdr:colOff>123094</xdr:colOff>
      <xdr:row>35</xdr:row>
      <xdr:rowOff>35169</xdr:rowOff>
    </xdr:from>
    <xdr:to>
      <xdr:col>1</xdr:col>
      <xdr:colOff>52750</xdr:colOff>
      <xdr:row>35</xdr:row>
      <xdr:rowOff>146539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F77DF5F7-E80F-416F-A057-D7AD5B0BB2D5}"/>
            </a:ext>
          </a:extLst>
        </xdr:cNvPr>
        <xdr:cNvCxnSpPr/>
      </xdr:nvCxnSpPr>
      <xdr:spPr>
        <a:xfrm flipV="1">
          <a:off x="123094" y="1090246"/>
          <a:ext cx="99641" cy="11137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650624</xdr:colOff>
      <xdr:row>52</xdr:row>
      <xdr:rowOff>60864</xdr:rowOff>
    </xdr:from>
    <xdr:to>
      <xdr:col>5</xdr:col>
      <xdr:colOff>370442</xdr:colOff>
      <xdr:row>55</xdr:row>
      <xdr:rowOff>46894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9BFDB5-7170-460B-A8CB-9B3938AFD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3178" y="60864"/>
          <a:ext cx="434926" cy="40806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41034</xdr:colOff>
      <xdr:row>52</xdr:row>
      <xdr:rowOff>76206</xdr:rowOff>
    </xdr:from>
    <xdr:ext cx="360642" cy="398074"/>
    <xdr:pic>
      <xdr:nvPicPr>
        <xdr:cNvPr id="15" name="Picture 14">
          <a:extLst>
            <a:ext uri="{FF2B5EF4-FFF2-40B4-BE49-F238E27FC236}">
              <a16:creationId xmlns:a16="http://schemas.microsoft.com/office/drawing/2014/main" id="{E0B7D090-DE46-4976-8D98-276FA578D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34" y="76206"/>
          <a:ext cx="360642" cy="398074"/>
        </a:xfrm>
        <a:prstGeom prst="rect">
          <a:avLst/>
        </a:prstGeom>
      </xdr:spPr>
    </xdr:pic>
    <xdr:clientData/>
  </xdr:oneCellAnchor>
  <xdr:twoCellAnchor>
    <xdr:from>
      <xdr:col>0</xdr:col>
      <xdr:colOff>117240</xdr:colOff>
      <xdr:row>59</xdr:row>
      <xdr:rowOff>23448</xdr:rowOff>
    </xdr:from>
    <xdr:to>
      <xdr:col>1</xdr:col>
      <xdr:colOff>58615</xdr:colOff>
      <xdr:row>60</xdr:row>
      <xdr:rowOff>17585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A755A065-C836-4CDB-AEAB-FC64500E4D76}"/>
            </a:ext>
          </a:extLst>
        </xdr:cNvPr>
        <xdr:cNvSpPr/>
      </xdr:nvSpPr>
      <xdr:spPr>
        <a:xfrm>
          <a:off x="117240" y="926125"/>
          <a:ext cx="111360" cy="117229"/>
        </a:xfrm>
        <a:prstGeom prst="rect">
          <a:avLst/>
        </a:prstGeom>
        <a:solidFill>
          <a:schemeClr val="bg1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0</xdr:col>
      <xdr:colOff>111378</xdr:colOff>
      <xdr:row>61</xdr:row>
      <xdr:rowOff>35172</xdr:rowOff>
    </xdr:from>
    <xdr:to>
      <xdr:col>1</xdr:col>
      <xdr:colOff>46892</xdr:colOff>
      <xdr:row>61</xdr:row>
      <xdr:rowOff>146539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AA233CE7-B036-48BA-BA3A-7151FE8A074B}"/>
            </a:ext>
          </a:extLst>
        </xdr:cNvPr>
        <xdr:cNvSpPr/>
      </xdr:nvSpPr>
      <xdr:spPr>
        <a:xfrm>
          <a:off x="111378" y="1090249"/>
          <a:ext cx="105499" cy="111367"/>
        </a:xfrm>
        <a:prstGeom prst="rect">
          <a:avLst/>
        </a:prstGeom>
        <a:solidFill>
          <a:schemeClr val="bg1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1100"/>
            <a:t>//</a:t>
          </a:r>
        </a:p>
      </xdr:txBody>
    </xdr:sp>
    <xdr:clientData/>
  </xdr:twoCellAnchor>
  <xdr:twoCellAnchor>
    <xdr:from>
      <xdr:col>0</xdr:col>
      <xdr:colOff>123094</xdr:colOff>
      <xdr:row>61</xdr:row>
      <xdr:rowOff>35169</xdr:rowOff>
    </xdr:from>
    <xdr:to>
      <xdr:col>1</xdr:col>
      <xdr:colOff>52750</xdr:colOff>
      <xdr:row>61</xdr:row>
      <xdr:rowOff>146539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5C41AB87-7931-4644-8C80-D1EB5E7A951C}"/>
            </a:ext>
          </a:extLst>
        </xdr:cNvPr>
        <xdr:cNvCxnSpPr/>
      </xdr:nvCxnSpPr>
      <xdr:spPr>
        <a:xfrm flipV="1">
          <a:off x="123094" y="1090246"/>
          <a:ext cx="99641" cy="11137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650624</xdr:colOff>
      <xdr:row>0</xdr:row>
      <xdr:rowOff>60864</xdr:rowOff>
    </xdr:from>
    <xdr:to>
      <xdr:col>5</xdr:col>
      <xdr:colOff>370442</xdr:colOff>
      <xdr:row>3</xdr:row>
      <xdr:rowOff>46894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FF25B4-5EA7-459B-8FF3-4A279571E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7564" y="60864"/>
          <a:ext cx="436098" cy="40513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41034</xdr:colOff>
      <xdr:row>0</xdr:row>
      <xdr:rowOff>76206</xdr:rowOff>
    </xdr:from>
    <xdr:to>
      <xdr:col>1</xdr:col>
      <xdr:colOff>231691</xdr:colOff>
      <xdr:row>3</xdr:row>
      <xdr:rowOff>52249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C20D29-0DD1-484F-A286-070D07C0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34" y="76206"/>
          <a:ext cx="358297" cy="395143"/>
        </a:xfrm>
        <a:prstGeom prst="rect">
          <a:avLst/>
        </a:prstGeom>
      </xdr:spPr>
    </xdr:pic>
    <xdr:clientData/>
  </xdr:twoCellAnchor>
  <xdr:twoCellAnchor>
    <xdr:from>
      <xdr:col>0</xdr:col>
      <xdr:colOff>117240</xdr:colOff>
      <xdr:row>7</xdr:row>
      <xdr:rowOff>23448</xdr:rowOff>
    </xdr:from>
    <xdr:to>
      <xdr:col>1</xdr:col>
      <xdr:colOff>58615</xdr:colOff>
      <xdr:row>8</xdr:row>
      <xdr:rowOff>17585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7429EB0-0534-46F6-B52F-A649A0C733D4}"/>
            </a:ext>
          </a:extLst>
        </xdr:cNvPr>
        <xdr:cNvSpPr/>
      </xdr:nvSpPr>
      <xdr:spPr>
        <a:xfrm>
          <a:off x="117240" y="922608"/>
          <a:ext cx="109015" cy="116057"/>
        </a:xfrm>
        <a:prstGeom prst="rect">
          <a:avLst/>
        </a:prstGeom>
        <a:solidFill>
          <a:schemeClr val="bg1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0</xdr:col>
      <xdr:colOff>111378</xdr:colOff>
      <xdr:row>9</xdr:row>
      <xdr:rowOff>35172</xdr:rowOff>
    </xdr:from>
    <xdr:to>
      <xdr:col>1</xdr:col>
      <xdr:colOff>46892</xdr:colOff>
      <xdr:row>9</xdr:row>
      <xdr:rowOff>146539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C776EE4-BDFB-45CA-9989-056113ADF837}"/>
            </a:ext>
          </a:extLst>
        </xdr:cNvPr>
        <xdr:cNvSpPr/>
      </xdr:nvSpPr>
      <xdr:spPr>
        <a:xfrm>
          <a:off x="111378" y="1086732"/>
          <a:ext cx="103154" cy="111367"/>
        </a:xfrm>
        <a:prstGeom prst="rect">
          <a:avLst/>
        </a:prstGeom>
        <a:solidFill>
          <a:schemeClr val="bg1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1100"/>
            <a:t>//</a:t>
          </a:r>
        </a:p>
      </xdr:txBody>
    </xdr:sp>
    <xdr:clientData/>
  </xdr:twoCellAnchor>
  <xdr:twoCellAnchor>
    <xdr:from>
      <xdr:col>0</xdr:col>
      <xdr:colOff>123094</xdr:colOff>
      <xdr:row>9</xdr:row>
      <xdr:rowOff>35169</xdr:rowOff>
    </xdr:from>
    <xdr:to>
      <xdr:col>1</xdr:col>
      <xdr:colOff>52750</xdr:colOff>
      <xdr:row>9</xdr:row>
      <xdr:rowOff>146539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8E62EA1F-6AAD-4E35-9958-FCCDC869564E}"/>
            </a:ext>
          </a:extLst>
        </xdr:cNvPr>
        <xdr:cNvCxnSpPr/>
      </xdr:nvCxnSpPr>
      <xdr:spPr>
        <a:xfrm flipV="1">
          <a:off x="123094" y="1086729"/>
          <a:ext cx="97296" cy="11137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105511</xdr:colOff>
      <xdr:row>33</xdr:row>
      <xdr:rowOff>29310</xdr:rowOff>
    </xdr:from>
    <xdr:to>
      <xdr:col>1</xdr:col>
      <xdr:colOff>46886</xdr:colOff>
      <xdr:row>34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A7F0AA0-E48E-4496-8A4A-8E8362C057E6}"/>
            </a:ext>
          </a:extLst>
        </xdr:cNvPr>
        <xdr:cNvSpPr/>
      </xdr:nvSpPr>
      <xdr:spPr>
        <a:xfrm>
          <a:off x="105511" y="4326990"/>
          <a:ext cx="109015" cy="115470"/>
        </a:xfrm>
        <a:prstGeom prst="rect">
          <a:avLst/>
        </a:prstGeom>
        <a:solidFill>
          <a:schemeClr val="bg1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0</xdr:col>
      <xdr:colOff>111378</xdr:colOff>
      <xdr:row>59</xdr:row>
      <xdr:rowOff>41034</xdr:rowOff>
    </xdr:from>
    <xdr:to>
      <xdr:col>1</xdr:col>
      <xdr:colOff>52753</xdr:colOff>
      <xdr:row>60</xdr:row>
      <xdr:rowOff>5863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D1CB5F9D-04BD-4DB4-AD81-6A0F4AB80496}"/>
            </a:ext>
          </a:extLst>
        </xdr:cNvPr>
        <xdr:cNvSpPr/>
      </xdr:nvSpPr>
      <xdr:spPr>
        <a:xfrm>
          <a:off x="111378" y="7767714"/>
          <a:ext cx="109015" cy="117229"/>
        </a:xfrm>
        <a:prstGeom prst="rect">
          <a:avLst/>
        </a:prstGeom>
        <a:solidFill>
          <a:schemeClr val="bg1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0</xdr:col>
      <xdr:colOff>111372</xdr:colOff>
      <xdr:row>35</xdr:row>
      <xdr:rowOff>46896</xdr:rowOff>
    </xdr:from>
    <xdr:to>
      <xdr:col>1</xdr:col>
      <xdr:colOff>46886</xdr:colOff>
      <xdr:row>36</xdr:row>
      <xdr:rowOff>5863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FD533D4E-E314-495C-A62D-E8244F7AB511}"/>
            </a:ext>
          </a:extLst>
        </xdr:cNvPr>
        <xdr:cNvSpPr/>
      </xdr:nvSpPr>
      <xdr:spPr>
        <a:xfrm>
          <a:off x="111372" y="4519836"/>
          <a:ext cx="103154" cy="111367"/>
        </a:xfrm>
        <a:prstGeom prst="rect">
          <a:avLst/>
        </a:prstGeom>
        <a:solidFill>
          <a:schemeClr val="bg1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1100"/>
            <a:t>//</a:t>
          </a:r>
        </a:p>
      </xdr:txBody>
    </xdr:sp>
    <xdr:clientData/>
  </xdr:twoCellAnchor>
  <xdr:twoCellAnchor>
    <xdr:from>
      <xdr:col>0</xdr:col>
      <xdr:colOff>111378</xdr:colOff>
      <xdr:row>61</xdr:row>
      <xdr:rowOff>41032</xdr:rowOff>
    </xdr:from>
    <xdr:to>
      <xdr:col>1</xdr:col>
      <xdr:colOff>46892</xdr:colOff>
      <xdr:row>61</xdr:row>
      <xdr:rowOff>152399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73380E59-4865-4A64-91C7-EEE6D73C396A}"/>
            </a:ext>
          </a:extLst>
        </xdr:cNvPr>
        <xdr:cNvSpPr/>
      </xdr:nvSpPr>
      <xdr:spPr>
        <a:xfrm>
          <a:off x="111378" y="7950592"/>
          <a:ext cx="103154" cy="111367"/>
        </a:xfrm>
        <a:prstGeom prst="rect">
          <a:avLst/>
        </a:prstGeom>
        <a:solidFill>
          <a:schemeClr val="bg1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1100"/>
            <a:t>//</a:t>
          </a:r>
        </a:p>
      </xdr:txBody>
    </xdr:sp>
    <xdr:clientData/>
  </xdr:twoCellAnchor>
  <xdr:twoCellAnchor>
    <xdr:from>
      <xdr:col>0</xdr:col>
      <xdr:colOff>117237</xdr:colOff>
      <xdr:row>35</xdr:row>
      <xdr:rowOff>52758</xdr:rowOff>
    </xdr:from>
    <xdr:to>
      <xdr:col>1</xdr:col>
      <xdr:colOff>46893</xdr:colOff>
      <xdr:row>36</xdr:row>
      <xdr:rowOff>11728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478778AD-11DB-4C75-83AD-D4D32B505592}"/>
            </a:ext>
          </a:extLst>
        </xdr:cNvPr>
        <xdr:cNvCxnSpPr/>
      </xdr:nvCxnSpPr>
      <xdr:spPr>
        <a:xfrm flipV="1">
          <a:off x="117237" y="4525698"/>
          <a:ext cx="97296" cy="11137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111377</xdr:colOff>
      <xdr:row>61</xdr:row>
      <xdr:rowOff>46896</xdr:rowOff>
    </xdr:from>
    <xdr:to>
      <xdr:col>1</xdr:col>
      <xdr:colOff>41033</xdr:colOff>
      <xdr:row>62</xdr:row>
      <xdr:rowOff>5866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342B2152-C6BF-49A3-A712-DBE26BFE10BF}"/>
            </a:ext>
          </a:extLst>
        </xdr:cNvPr>
        <xdr:cNvCxnSpPr/>
      </xdr:nvCxnSpPr>
      <xdr:spPr>
        <a:xfrm flipV="1">
          <a:off x="111377" y="7956456"/>
          <a:ext cx="97296" cy="11137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650624</xdr:colOff>
      <xdr:row>26</xdr:row>
      <xdr:rowOff>60864</xdr:rowOff>
    </xdr:from>
    <xdr:to>
      <xdr:col>5</xdr:col>
      <xdr:colOff>370442</xdr:colOff>
      <xdr:row>29</xdr:row>
      <xdr:rowOff>46894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131A49F-4B9E-4365-98B6-63CFEFB95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7564" y="3489864"/>
          <a:ext cx="436098" cy="40513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41034</xdr:colOff>
      <xdr:row>26</xdr:row>
      <xdr:rowOff>76206</xdr:rowOff>
    </xdr:from>
    <xdr:ext cx="360642" cy="398074"/>
    <xdr:pic>
      <xdr:nvPicPr>
        <xdr:cNvPr id="14" name="Picture 13">
          <a:extLst>
            <a:ext uri="{FF2B5EF4-FFF2-40B4-BE49-F238E27FC236}">
              <a16:creationId xmlns:a16="http://schemas.microsoft.com/office/drawing/2014/main" id="{74B13BB3-9875-4007-AFB2-E5D6A3603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34" y="3505206"/>
          <a:ext cx="360642" cy="398074"/>
        </a:xfrm>
        <a:prstGeom prst="rect">
          <a:avLst/>
        </a:prstGeom>
      </xdr:spPr>
    </xdr:pic>
    <xdr:clientData/>
  </xdr:oneCellAnchor>
  <xdr:twoCellAnchor>
    <xdr:from>
      <xdr:col>0</xdr:col>
      <xdr:colOff>117240</xdr:colOff>
      <xdr:row>33</xdr:row>
      <xdr:rowOff>23448</xdr:rowOff>
    </xdr:from>
    <xdr:to>
      <xdr:col>1</xdr:col>
      <xdr:colOff>58615</xdr:colOff>
      <xdr:row>34</xdr:row>
      <xdr:rowOff>17585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1D2987EC-E402-445A-AD8D-7537F05BBBD5}"/>
            </a:ext>
          </a:extLst>
        </xdr:cNvPr>
        <xdr:cNvSpPr/>
      </xdr:nvSpPr>
      <xdr:spPr>
        <a:xfrm>
          <a:off x="117240" y="4321128"/>
          <a:ext cx="109015" cy="138917"/>
        </a:xfrm>
        <a:prstGeom prst="rect">
          <a:avLst/>
        </a:prstGeom>
        <a:solidFill>
          <a:schemeClr val="bg1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0</xdr:col>
      <xdr:colOff>111378</xdr:colOff>
      <xdr:row>35</xdr:row>
      <xdr:rowOff>35172</xdr:rowOff>
    </xdr:from>
    <xdr:to>
      <xdr:col>1</xdr:col>
      <xdr:colOff>46892</xdr:colOff>
      <xdr:row>35</xdr:row>
      <xdr:rowOff>146539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977A777-BD32-43DB-8DEC-87442192DF41}"/>
            </a:ext>
          </a:extLst>
        </xdr:cNvPr>
        <xdr:cNvSpPr/>
      </xdr:nvSpPr>
      <xdr:spPr>
        <a:xfrm>
          <a:off x="111378" y="4508112"/>
          <a:ext cx="103154" cy="111367"/>
        </a:xfrm>
        <a:prstGeom prst="rect">
          <a:avLst/>
        </a:prstGeom>
        <a:solidFill>
          <a:schemeClr val="bg1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1100"/>
            <a:t>//</a:t>
          </a:r>
        </a:p>
      </xdr:txBody>
    </xdr:sp>
    <xdr:clientData/>
  </xdr:twoCellAnchor>
  <xdr:twoCellAnchor>
    <xdr:from>
      <xdr:col>0</xdr:col>
      <xdr:colOff>123094</xdr:colOff>
      <xdr:row>35</xdr:row>
      <xdr:rowOff>35169</xdr:rowOff>
    </xdr:from>
    <xdr:to>
      <xdr:col>1</xdr:col>
      <xdr:colOff>52750</xdr:colOff>
      <xdr:row>35</xdr:row>
      <xdr:rowOff>146539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51E6DDAF-E9FF-474B-B184-848B9AD379D3}"/>
            </a:ext>
          </a:extLst>
        </xdr:cNvPr>
        <xdr:cNvCxnSpPr/>
      </xdr:nvCxnSpPr>
      <xdr:spPr>
        <a:xfrm flipV="1">
          <a:off x="123094" y="4508109"/>
          <a:ext cx="97296" cy="11137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650624</xdr:colOff>
      <xdr:row>52</xdr:row>
      <xdr:rowOff>60864</xdr:rowOff>
    </xdr:from>
    <xdr:to>
      <xdr:col>5</xdr:col>
      <xdr:colOff>370442</xdr:colOff>
      <xdr:row>55</xdr:row>
      <xdr:rowOff>46894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9C48646-6F64-46C6-98BA-4F71BF258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7564" y="6911244"/>
          <a:ext cx="436098" cy="40513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41034</xdr:colOff>
      <xdr:row>52</xdr:row>
      <xdr:rowOff>76206</xdr:rowOff>
    </xdr:from>
    <xdr:ext cx="360642" cy="398074"/>
    <xdr:pic>
      <xdr:nvPicPr>
        <xdr:cNvPr id="19" name="Picture 18">
          <a:extLst>
            <a:ext uri="{FF2B5EF4-FFF2-40B4-BE49-F238E27FC236}">
              <a16:creationId xmlns:a16="http://schemas.microsoft.com/office/drawing/2014/main" id="{0CB30259-CC53-462B-88B2-C7CD55480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34" y="6926586"/>
          <a:ext cx="360642" cy="398074"/>
        </a:xfrm>
        <a:prstGeom prst="rect">
          <a:avLst/>
        </a:prstGeom>
      </xdr:spPr>
    </xdr:pic>
    <xdr:clientData/>
  </xdr:oneCellAnchor>
  <xdr:twoCellAnchor>
    <xdr:from>
      <xdr:col>0</xdr:col>
      <xdr:colOff>117240</xdr:colOff>
      <xdr:row>59</xdr:row>
      <xdr:rowOff>23448</xdr:rowOff>
    </xdr:from>
    <xdr:to>
      <xdr:col>1</xdr:col>
      <xdr:colOff>58615</xdr:colOff>
      <xdr:row>60</xdr:row>
      <xdr:rowOff>17585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A444113-CE79-43C3-8670-29EAEA131FFC}"/>
            </a:ext>
          </a:extLst>
        </xdr:cNvPr>
        <xdr:cNvSpPr/>
      </xdr:nvSpPr>
      <xdr:spPr>
        <a:xfrm>
          <a:off x="117240" y="7750128"/>
          <a:ext cx="109015" cy="146537"/>
        </a:xfrm>
        <a:prstGeom prst="rect">
          <a:avLst/>
        </a:prstGeom>
        <a:solidFill>
          <a:schemeClr val="bg1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0</xdr:col>
      <xdr:colOff>111378</xdr:colOff>
      <xdr:row>61</xdr:row>
      <xdr:rowOff>35172</xdr:rowOff>
    </xdr:from>
    <xdr:to>
      <xdr:col>1</xdr:col>
      <xdr:colOff>46892</xdr:colOff>
      <xdr:row>61</xdr:row>
      <xdr:rowOff>146539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9A7F3DB3-7FBA-49DD-BA39-A2CC902599E5}"/>
            </a:ext>
          </a:extLst>
        </xdr:cNvPr>
        <xdr:cNvSpPr/>
      </xdr:nvSpPr>
      <xdr:spPr>
        <a:xfrm>
          <a:off x="111378" y="7944732"/>
          <a:ext cx="103154" cy="111367"/>
        </a:xfrm>
        <a:prstGeom prst="rect">
          <a:avLst/>
        </a:prstGeom>
        <a:solidFill>
          <a:schemeClr val="bg1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1100"/>
            <a:t>//</a:t>
          </a:r>
        </a:p>
      </xdr:txBody>
    </xdr:sp>
    <xdr:clientData/>
  </xdr:twoCellAnchor>
  <xdr:twoCellAnchor>
    <xdr:from>
      <xdr:col>0</xdr:col>
      <xdr:colOff>123094</xdr:colOff>
      <xdr:row>61</xdr:row>
      <xdr:rowOff>35169</xdr:rowOff>
    </xdr:from>
    <xdr:to>
      <xdr:col>1</xdr:col>
      <xdr:colOff>52750</xdr:colOff>
      <xdr:row>61</xdr:row>
      <xdr:rowOff>146539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3FA4B049-AB8D-4B68-B3B0-EB5CBC104E9D}"/>
            </a:ext>
          </a:extLst>
        </xdr:cNvPr>
        <xdr:cNvCxnSpPr/>
      </xdr:nvCxnSpPr>
      <xdr:spPr>
        <a:xfrm flipV="1">
          <a:off x="123094" y="7944729"/>
          <a:ext cx="97296" cy="11137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87925</xdr:colOff>
      <xdr:row>20</xdr:row>
      <xdr:rowOff>41032</xdr:rowOff>
    </xdr:from>
    <xdr:to>
      <xdr:col>3</xdr:col>
      <xdr:colOff>193433</xdr:colOff>
      <xdr:row>20</xdr:row>
      <xdr:rowOff>134816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655BC808-40F4-4633-01A6-9A633107CFA6}"/>
            </a:ext>
          </a:extLst>
        </xdr:cNvPr>
        <xdr:cNvSpPr/>
      </xdr:nvSpPr>
      <xdr:spPr>
        <a:xfrm>
          <a:off x="1459525" y="2772509"/>
          <a:ext cx="105508" cy="93784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3</xdr:col>
      <xdr:colOff>87925</xdr:colOff>
      <xdr:row>46</xdr:row>
      <xdr:rowOff>41032</xdr:rowOff>
    </xdr:from>
    <xdr:to>
      <xdr:col>3</xdr:col>
      <xdr:colOff>193433</xdr:colOff>
      <xdr:row>46</xdr:row>
      <xdr:rowOff>134816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4D898578-8C0F-47C7-A43E-95462F1CDB9A}"/>
            </a:ext>
          </a:extLst>
        </xdr:cNvPr>
        <xdr:cNvSpPr/>
      </xdr:nvSpPr>
      <xdr:spPr>
        <a:xfrm>
          <a:off x="1459525" y="6189786"/>
          <a:ext cx="105508" cy="93784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3</xdr:col>
      <xdr:colOff>87925</xdr:colOff>
      <xdr:row>72</xdr:row>
      <xdr:rowOff>41032</xdr:rowOff>
    </xdr:from>
    <xdr:to>
      <xdr:col>3</xdr:col>
      <xdr:colOff>193433</xdr:colOff>
      <xdr:row>72</xdr:row>
      <xdr:rowOff>134816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590E30A1-AEE7-4DF4-9BCA-F10459059ADF}"/>
            </a:ext>
          </a:extLst>
        </xdr:cNvPr>
        <xdr:cNvSpPr/>
      </xdr:nvSpPr>
      <xdr:spPr>
        <a:xfrm>
          <a:off x="1459525" y="2813540"/>
          <a:ext cx="105508" cy="93784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7"/>
  <sheetViews>
    <sheetView tabSelected="1" topLeftCell="A31" zoomScale="130" zoomScaleNormal="130" workbookViewId="0">
      <selection activeCell="F40" sqref="F40"/>
    </sheetView>
  </sheetViews>
  <sheetFormatPr defaultRowHeight="15" x14ac:dyDescent="0.25"/>
  <cols>
    <col min="1" max="1" width="2.42578125" customWidth="1"/>
    <col min="2" max="2" width="4.28515625" customWidth="1"/>
    <col min="3" max="3" width="13.85546875" customWidth="1"/>
    <col min="4" max="4" width="11.28515625" customWidth="1"/>
    <col min="5" max="5" width="10.42578125" customWidth="1"/>
    <col min="6" max="6" width="11.42578125" customWidth="1"/>
    <col min="7" max="7" width="17.28515625" customWidth="1"/>
    <col min="8" max="8" width="7.42578125" style="3" customWidth="1"/>
    <col min="9" max="9" width="6.28515625" customWidth="1"/>
    <col min="10" max="10" width="10.7109375" customWidth="1"/>
  </cols>
  <sheetData>
    <row r="1" spans="1:13" s="4" customFormat="1" ht="13.9" customHeight="1" x14ac:dyDescent="0.25">
      <c r="A1" s="5"/>
      <c r="B1" s="6"/>
      <c r="C1" s="7" t="s">
        <v>55</v>
      </c>
      <c r="D1" s="6"/>
      <c r="E1" s="6"/>
      <c r="F1" s="6"/>
      <c r="G1" s="92"/>
      <c r="H1" s="93"/>
      <c r="I1" s="93"/>
      <c r="J1" s="94" t="s">
        <v>50</v>
      </c>
    </row>
    <row r="2" spans="1:13" s="4" customFormat="1" ht="10.15" customHeight="1" x14ac:dyDescent="0.25">
      <c r="A2" s="8"/>
      <c r="C2" s="56" t="s">
        <v>56</v>
      </c>
      <c r="G2" s="198" t="s">
        <v>21</v>
      </c>
      <c r="H2" s="199" t="s">
        <v>48</v>
      </c>
      <c r="I2" s="200"/>
      <c r="J2" s="201"/>
      <c r="K2" s="202">
        <v>10</v>
      </c>
    </row>
    <row r="3" spans="1:13" s="4" customFormat="1" ht="10.15" customHeight="1" x14ac:dyDescent="0.25">
      <c r="A3" s="8"/>
      <c r="C3" s="56" t="s">
        <v>9</v>
      </c>
      <c r="G3" s="198"/>
      <c r="H3" s="199"/>
      <c r="I3" s="200"/>
      <c r="J3" s="201"/>
      <c r="K3" s="202"/>
    </row>
    <row r="4" spans="1:13" s="4" customFormat="1" ht="10.15" customHeight="1" x14ac:dyDescent="0.25">
      <c r="A4" s="8"/>
      <c r="C4" s="56" t="s">
        <v>10</v>
      </c>
      <c r="G4" s="95" t="s">
        <v>28</v>
      </c>
      <c r="H4" s="205" t="s">
        <v>36</v>
      </c>
      <c r="I4" s="205" t="s">
        <v>25</v>
      </c>
      <c r="J4" s="203" t="s">
        <v>8</v>
      </c>
      <c r="K4" s="202"/>
    </row>
    <row r="5" spans="1:13" s="4" customFormat="1" ht="12" customHeight="1" x14ac:dyDescent="0.25">
      <c r="A5" s="8"/>
      <c r="C5" s="57" t="s">
        <v>11</v>
      </c>
      <c r="G5" s="204" t="s">
        <v>29</v>
      </c>
      <c r="H5" s="205"/>
      <c r="I5" s="205"/>
      <c r="J5" s="203"/>
    </row>
    <row r="6" spans="1:13" s="4" customFormat="1" ht="2.4500000000000002" customHeight="1" x14ac:dyDescent="0.25">
      <c r="A6" s="8"/>
      <c r="C6" s="58"/>
      <c r="G6" s="204"/>
      <c r="H6" s="205"/>
      <c r="I6" s="205"/>
      <c r="J6" s="203"/>
    </row>
    <row r="7" spans="1:13" s="4" customFormat="1" ht="13.9" customHeight="1" x14ac:dyDescent="0.25">
      <c r="A7" s="9" t="s">
        <v>12</v>
      </c>
      <c r="B7" s="59"/>
      <c r="C7" s="60"/>
      <c r="E7" s="61" t="s">
        <v>20</v>
      </c>
      <c r="F7" s="62" t="s">
        <v>35</v>
      </c>
      <c r="G7" s="88" t="s">
        <v>24</v>
      </c>
      <c r="H7" s="89">
        <f>SUM(H8:H14)</f>
        <v>3040</v>
      </c>
      <c r="I7" s="90"/>
      <c r="J7" s="91">
        <f>SUM(J8:J14)</f>
        <v>130976.5</v>
      </c>
    </row>
    <row r="8" spans="1:13" s="4" customFormat="1" ht="9.6" customHeight="1" x14ac:dyDescent="0.25">
      <c r="A8" s="8"/>
      <c r="B8" s="63" t="s">
        <v>37</v>
      </c>
      <c r="D8" s="184" t="s">
        <v>39</v>
      </c>
      <c r="E8" s="186" t="s">
        <v>47</v>
      </c>
      <c r="F8" s="187"/>
      <c r="G8" s="174" t="s">
        <v>7</v>
      </c>
      <c r="H8" s="176"/>
      <c r="I8" s="174">
        <v>352</v>
      </c>
      <c r="J8" s="178"/>
    </row>
    <row r="9" spans="1:13" s="4" customFormat="1" ht="2.4500000000000002" customHeight="1" x14ac:dyDescent="0.25">
      <c r="A9" s="8"/>
      <c r="B9" s="63"/>
      <c r="D9" s="185"/>
      <c r="E9" s="188"/>
      <c r="F9" s="189"/>
      <c r="G9" s="175"/>
      <c r="H9" s="177"/>
      <c r="I9" s="175"/>
      <c r="J9" s="179"/>
    </row>
    <row r="10" spans="1:13" s="4" customFormat="1" ht="12" customHeight="1" x14ac:dyDescent="0.25">
      <c r="A10" s="19"/>
      <c r="B10" s="63" t="s">
        <v>38</v>
      </c>
      <c r="G10" s="30" t="s">
        <v>30</v>
      </c>
      <c r="H10" s="14">
        <v>10</v>
      </c>
      <c r="I10" s="15">
        <v>35.200000000000003</v>
      </c>
      <c r="J10" s="16">
        <f>H10*I10</f>
        <v>352</v>
      </c>
    </row>
    <row r="11" spans="1:13" s="4" customFormat="1" ht="12" customHeight="1" x14ac:dyDescent="0.25">
      <c r="A11" s="10" t="s">
        <v>13</v>
      </c>
      <c r="B11" s="61"/>
      <c r="G11" s="30" t="s">
        <v>31</v>
      </c>
      <c r="H11" s="14">
        <v>10</v>
      </c>
      <c r="I11" s="15">
        <v>37.15</v>
      </c>
      <c r="J11" s="16">
        <f>H11*I11</f>
        <v>371.5</v>
      </c>
    </row>
    <row r="12" spans="1:13" s="4" customFormat="1" ht="12" customHeight="1" x14ac:dyDescent="0.25">
      <c r="A12" s="8" t="s">
        <v>14</v>
      </c>
      <c r="D12" s="11" t="s">
        <v>17</v>
      </c>
      <c r="E12" s="11"/>
      <c r="F12" s="11"/>
      <c r="G12" s="30" t="s">
        <v>32</v>
      </c>
      <c r="H12" s="14">
        <v>10</v>
      </c>
      <c r="I12" s="15">
        <v>39.15</v>
      </c>
      <c r="J12" s="16">
        <f t="shared" ref="J12:J14" si="0">H12*I12</f>
        <v>391.5</v>
      </c>
    </row>
    <row r="13" spans="1:13" s="4" customFormat="1" ht="12" customHeight="1" x14ac:dyDescent="0.25">
      <c r="A13" s="8" t="s">
        <v>15</v>
      </c>
      <c r="D13" s="12" t="s">
        <v>18</v>
      </c>
      <c r="E13" s="12"/>
      <c r="F13" s="12"/>
      <c r="G13" s="30" t="s">
        <v>33</v>
      </c>
      <c r="H13" s="14">
        <v>10</v>
      </c>
      <c r="I13" s="15">
        <v>41.15</v>
      </c>
      <c r="J13" s="16">
        <f t="shared" si="0"/>
        <v>411.5</v>
      </c>
    </row>
    <row r="14" spans="1:13" s="4" customFormat="1" ht="12" customHeight="1" x14ac:dyDescent="0.25">
      <c r="A14" s="8" t="s">
        <v>16</v>
      </c>
      <c r="D14" s="12" t="s">
        <v>19</v>
      </c>
      <c r="E14" s="12"/>
      <c r="F14" s="12"/>
      <c r="G14" s="68" t="s">
        <v>34</v>
      </c>
      <c r="H14" s="23">
        <v>3000</v>
      </c>
      <c r="I14" s="24">
        <v>43.15</v>
      </c>
      <c r="J14" s="25">
        <f t="shared" si="0"/>
        <v>129450</v>
      </c>
    </row>
    <row r="15" spans="1:13" s="4" customFormat="1" ht="12" customHeight="1" x14ac:dyDescent="0.25">
      <c r="A15" s="8" t="s">
        <v>22</v>
      </c>
      <c r="D15" s="64" t="s">
        <v>23</v>
      </c>
      <c r="G15" s="69" t="s">
        <v>26</v>
      </c>
      <c r="H15" s="26">
        <v>7.0000000000000007E-2</v>
      </c>
      <c r="I15" s="27"/>
      <c r="J15" s="28">
        <f>-J7*H15</f>
        <v>-9168.3550000000014</v>
      </c>
    </row>
    <row r="16" spans="1:13" s="4" customFormat="1" ht="12" customHeight="1" x14ac:dyDescent="0.25">
      <c r="A16" s="155" t="s">
        <v>42</v>
      </c>
      <c r="B16" s="156"/>
      <c r="C16" s="157"/>
      <c r="D16" s="82" t="s">
        <v>40</v>
      </c>
      <c r="E16" s="77">
        <v>45693</v>
      </c>
      <c r="F16" s="78">
        <v>45694</v>
      </c>
      <c r="G16" s="70" t="s">
        <v>59</v>
      </c>
      <c r="H16" s="29">
        <v>0.02</v>
      </c>
      <c r="I16" s="30"/>
      <c r="J16" s="16">
        <f>(J7-J15)*H16</f>
        <v>2802.8971000000001</v>
      </c>
      <c r="L16" s="20"/>
      <c r="M16" s="21"/>
    </row>
    <row r="17" spans="1:10" s="4" customFormat="1" ht="12" customHeight="1" x14ac:dyDescent="0.25">
      <c r="A17" s="158"/>
      <c r="B17" s="159"/>
      <c r="C17" s="160"/>
      <c r="D17" s="180" t="s">
        <v>0</v>
      </c>
      <c r="E17" s="181"/>
      <c r="F17" s="182"/>
      <c r="G17" s="70" t="s">
        <v>60</v>
      </c>
      <c r="H17" s="31"/>
      <c r="I17" s="31"/>
      <c r="J17" s="32"/>
    </row>
    <row r="18" spans="1:10" s="4" customFormat="1" ht="12" customHeight="1" x14ac:dyDescent="0.25">
      <c r="A18" s="158"/>
      <c r="B18" s="159"/>
      <c r="C18" s="160"/>
      <c r="D18" s="83" t="s">
        <v>2</v>
      </c>
      <c r="E18" s="66" t="s">
        <v>3</v>
      </c>
      <c r="F18" s="79" t="s">
        <v>4</v>
      </c>
      <c r="G18" s="71" t="s">
        <v>5</v>
      </c>
      <c r="H18" s="33"/>
      <c r="I18" s="34"/>
      <c r="J18" s="35">
        <v>110000</v>
      </c>
    </row>
    <row r="19" spans="1:10" s="4" customFormat="1" ht="12" customHeight="1" x14ac:dyDescent="0.25">
      <c r="A19" s="158"/>
      <c r="B19" s="159"/>
      <c r="C19" s="160"/>
      <c r="D19" s="85">
        <v>30</v>
      </c>
      <c r="E19" s="86">
        <v>3070</v>
      </c>
      <c r="F19" s="87">
        <f>E19-D19</f>
        <v>3040</v>
      </c>
      <c r="G19" s="72" t="s">
        <v>27</v>
      </c>
      <c r="H19" s="39"/>
      <c r="I19" s="40"/>
      <c r="J19" s="41">
        <f>J7+J15+J16+J18</f>
        <v>234611.04210000002</v>
      </c>
    </row>
    <row r="20" spans="1:10" s="4" customFormat="1" ht="12" customHeight="1" x14ac:dyDescent="0.25">
      <c r="A20" s="161"/>
      <c r="B20" s="162"/>
      <c r="C20" s="163"/>
      <c r="D20" s="84" t="s">
        <v>41</v>
      </c>
      <c r="E20" s="80"/>
      <c r="F20" s="81"/>
      <c r="G20" s="73" t="s">
        <v>1</v>
      </c>
      <c r="H20" s="36">
        <v>0.1</v>
      </c>
      <c r="I20" s="37"/>
      <c r="J20" s="38">
        <f>(J7+J15)*0.1</f>
        <v>12180.8145</v>
      </c>
    </row>
    <row r="21" spans="1:10" s="4" customFormat="1" ht="12" customHeight="1" x14ac:dyDescent="0.25">
      <c r="A21" s="164" t="s">
        <v>52</v>
      </c>
      <c r="B21" s="165"/>
      <c r="C21" s="168" t="s">
        <v>53</v>
      </c>
      <c r="D21" s="165" t="s">
        <v>54</v>
      </c>
      <c r="E21" s="170"/>
      <c r="F21" s="171"/>
      <c r="G21" s="74" t="s">
        <v>27</v>
      </c>
      <c r="H21" s="54"/>
      <c r="I21" s="76"/>
      <c r="J21" s="55">
        <f>J19+J20</f>
        <v>246791.85660000003</v>
      </c>
    </row>
    <row r="22" spans="1:10" s="4" customFormat="1" ht="12" customHeight="1" thickBot="1" x14ac:dyDescent="0.3">
      <c r="A22" s="166"/>
      <c r="B22" s="167"/>
      <c r="C22" s="169"/>
      <c r="D22" s="167"/>
      <c r="E22" s="172"/>
      <c r="F22" s="173"/>
      <c r="G22" s="75" t="s">
        <v>61</v>
      </c>
      <c r="H22" s="65"/>
      <c r="I22" s="65"/>
      <c r="J22" s="22"/>
    </row>
    <row r="23" spans="1:10" ht="7.9" customHeight="1" x14ac:dyDescent="0.25">
      <c r="A23" s="42" t="s">
        <v>43</v>
      </c>
      <c r="B23" s="43"/>
      <c r="C23" s="43"/>
      <c r="D23" s="44"/>
      <c r="E23" s="45" t="s">
        <v>45</v>
      </c>
      <c r="F23" s="45"/>
      <c r="G23" s="46"/>
      <c r="H23" s="47" t="s">
        <v>58</v>
      </c>
      <c r="I23" s="46"/>
      <c r="J23" s="46"/>
    </row>
    <row r="24" spans="1:10" ht="7.9" customHeight="1" x14ac:dyDescent="0.25">
      <c r="A24" s="48" t="s">
        <v>44</v>
      </c>
      <c r="B24" s="17"/>
      <c r="C24" s="17"/>
      <c r="D24" s="49"/>
      <c r="E24" s="18" t="s">
        <v>44</v>
      </c>
      <c r="F24" s="18"/>
      <c r="G24" s="50"/>
      <c r="H24" s="51" t="s">
        <v>15</v>
      </c>
      <c r="I24" s="50"/>
      <c r="J24" s="50"/>
    </row>
    <row r="25" spans="1:10" ht="7.9" customHeight="1" x14ac:dyDescent="0.25">
      <c r="A25" s="52"/>
      <c r="B25" s="53"/>
      <c r="C25" s="53"/>
      <c r="D25" s="49"/>
      <c r="E25" s="18" t="s">
        <v>46</v>
      </c>
      <c r="F25" s="18"/>
      <c r="G25" s="50"/>
      <c r="H25" s="51" t="s">
        <v>57</v>
      </c>
      <c r="I25" s="50"/>
      <c r="J25" s="50"/>
    </row>
    <row r="26" spans="1:10" ht="7.9" customHeight="1" thickBot="1" x14ac:dyDescent="0.3">
      <c r="A26" s="13" t="s">
        <v>62</v>
      </c>
      <c r="B26" s="2"/>
      <c r="C26" s="2"/>
      <c r="D26" s="1"/>
      <c r="E26" s="183" t="s">
        <v>49</v>
      </c>
      <c r="F26" s="183"/>
      <c r="G26" s="13" t="s">
        <v>63</v>
      </c>
    </row>
    <row r="27" spans="1:10" s="4" customFormat="1" ht="13.9" customHeight="1" x14ac:dyDescent="0.25">
      <c r="A27" s="5"/>
      <c r="B27" s="6"/>
      <c r="C27" s="7" t="s">
        <v>55</v>
      </c>
      <c r="D27" s="6"/>
      <c r="E27" s="6"/>
      <c r="F27" s="6"/>
      <c r="G27" s="92"/>
      <c r="H27" s="93"/>
      <c r="I27" s="93"/>
      <c r="J27" s="94" t="s">
        <v>51</v>
      </c>
    </row>
    <row r="28" spans="1:10" s="4" customFormat="1" ht="10.15" customHeight="1" x14ac:dyDescent="0.25">
      <c r="A28" s="8"/>
      <c r="C28" s="56" t="s">
        <v>56</v>
      </c>
      <c r="G28" s="198" t="s">
        <v>21</v>
      </c>
      <c r="H28" s="199" t="s">
        <v>48</v>
      </c>
      <c r="I28" s="200"/>
      <c r="J28" s="201"/>
    </row>
    <row r="29" spans="1:10" s="4" customFormat="1" ht="10.15" customHeight="1" x14ac:dyDescent="0.25">
      <c r="A29" s="8"/>
      <c r="C29" s="56" t="s">
        <v>9</v>
      </c>
      <c r="G29" s="198"/>
      <c r="H29" s="199"/>
      <c r="I29" s="200"/>
      <c r="J29" s="201"/>
    </row>
    <row r="30" spans="1:10" s="4" customFormat="1" ht="10.15" customHeight="1" x14ac:dyDescent="0.25">
      <c r="A30" s="8"/>
      <c r="C30" s="56" t="s">
        <v>10</v>
      </c>
      <c r="G30" s="95" t="s">
        <v>28</v>
      </c>
      <c r="H30" s="205" t="s">
        <v>36</v>
      </c>
      <c r="I30" s="205" t="s">
        <v>25</v>
      </c>
      <c r="J30" s="203" t="s">
        <v>8</v>
      </c>
    </row>
    <row r="31" spans="1:10" s="4" customFormat="1" ht="10.15" customHeight="1" x14ac:dyDescent="0.25">
      <c r="A31" s="8"/>
      <c r="C31" s="57" t="s">
        <v>11</v>
      </c>
      <c r="G31" s="204" t="s">
        <v>29</v>
      </c>
      <c r="H31" s="205"/>
      <c r="I31" s="205"/>
      <c r="J31" s="203"/>
    </row>
    <row r="32" spans="1:10" s="4" customFormat="1" ht="2.4500000000000002" customHeight="1" x14ac:dyDescent="0.25">
      <c r="A32" s="8"/>
      <c r="C32" s="58"/>
      <c r="G32" s="204"/>
      <c r="H32" s="205"/>
      <c r="I32" s="205"/>
      <c r="J32" s="203"/>
    </row>
    <row r="33" spans="1:10" s="4" customFormat="1" ht="13.9" customHeight="1" x14ac:dyDescent="0.25">
      <c r="A33" s="9" t="s">
        <v>12</v>
      </c>
      <c r="B33" s="59"/>
      <c r="C33" s="60"/>
      <c r="E33" s="61" t="s">
        <v>20</v>
      </c>
      <c r="F33" s="62" t="s">
        <v>35</v>
      </c>
      <c r="G33" s="88" t="s">
        <v>24</v>
      </c>
      <c r="H33" s="89">
        <f>SUM(H34:H40)</f>
        <v>3040</v>
      </c>
      <c r="I33" s="90"/>
      <c r="J33" s="91">
        <f>SUM(J34:J40)</f>
        <v>130976.5</v>
      </c>
    </row>
    <row r="34" spans="1:10" s="4" customFormat="1" ht="11.45" customHeight="1" x14ac:dyDescent="0.25">
      <c r="A34" s="8"/>
      <c r="B34" s="63" t="s">
        <v>37</v>
      </c>
      <c r="D34" s="184" t="s">
        <v>39</v>
      </c>
      <c r="E34" s="186" t="s">
        <v>47</v>
      </c>
      <c r="F34" s="187"/>
      <c r="G34" s="174" t="s">
        <v>7</v>
      </c>
      <c r="H34" s="176"/>
      <c r="I34" s="174">
        <v>352</v>
      </c>
      <c r="J34" s="178"/>
    </row>
    <row r="35" spans="1:10" s="4" customFormat="1" ht="2.4500000000000002" customHeight="1" x14ac:dyDescent="0.25">
      <c r="A35" s="8"/>
      <c r="B35" s="63"/>
      <c r="D35" s="185"/>
      <c r="E35" s="188"/>
      <c r="F35" s="189"/>
      <c r="G35" s="175"/>
      <c r="H35" s="177"/>
      <c r="I35" s="175"/>
      <c r="J35" s="179"/>
    </row>
    <row r="36" spans="1:10" s="4" customFormat="1" ht="12" customHeight="1" x14ac:dyDescent="0.25">
      <c r="A36" s="19"/>
      <c r="B36" s="63" t="s">
        <v>38</v>
      </c>
      <c r="G36" s="30" t="s">
        <v>30</v>
      </c>
      <c r="H36" s="14">
        <v>10</v>
      </c>
      <c r="I36" s="15">
        <v>35.200000000000003</v>
      </c>
      <c r="J36" s="16">
        <f>H36*I36</f>
        <v>352</v>
      </c>
    </row>
    <row r="37" spans="1:10" s="4" customFormat="1" ht="12" customHeight="1" x14ac:dyDescent="0.25">
      <c r="A37" s="10" t="s">
        <v>13</v>
      </c>
      <c r="B37" s="61"/>
      <c r="G37" s="30" t="s">
        <v>31</v>
      </c>
      <c r="H37" s="14">
        <v>10</v>
      </c>
      <c r="I37" s="15">
        <v>37.15</v>
      </c>
      <c r="J37" s="16">
        <f>H37*I37</f>
        <v>371.5</v>
      </c>
    </row>
    <row r="38" spans="1:10" s="4" customFormat="1" ht="12" customHeight="1" x14ac:dyDescent="0.25">
      <c r="A38" s="8" t="s">
        <v>14</v>
      </c>
      <c r="D38" s="11" t="s">
        <v>17</v>
      </c>
      <c r="E38" s="11"/>
      <c r="F38" s="11"/>
      <c r="G38" s="30" t="s">
        <v>32</v>
      </c>
      <c r="H38" s="14">
        <v>10</v>
      </c>
      <c r="I38" s="15">
        <v>39.15</v>
      </c>
      <c r="J38" s="16">
        <f t="shared" ref="J38:J40" si="1">H38*I38</f>
        <v>391.5</v>
      </c>
    </row>
    <row r="39" spans="1:10" s="4" customFormat="1" ht="12" customHeight="1" x14ac:dyDescent="0.25">
      <c r="A39" s="8" t="s">
        <v>15</v>
      </c>
      <c r="D39" s="12" t="s">
        <v>18</v>
      </c>
      <c r="E39" s="12"/>
      <c r="F39" s="12"/>
      <c r="G39" s="30" t="s">
        <v>33</v>
      </c>
      <c r="H39" s="14">
        <v>10</v>
      </c>
      <c r="I39" s="15">
        <v>41.15</v>
      </c>
      <c r="J39" s="16">
        <f t="shared" si="1"/>
        <v>411.5</v>
      </c>
    </row>
    <row r="40" spans="1:10" s="4" customFormat="1" ht="12" customHeight="1" x14ac:dyDescent="0.25">
      <c r="A40" s="8" t="s">
        <v>16</v>
      </c>
      <c r="D40" s="12" t="s">
        <v>19</v>
      </c>
      <c r="E40" s="12"/>
      <c r="F40" s="12"/>
      <c r="G40" s="68" t="s">
        <v>34</v>
      </c>
      <c r="H40" s="23">
        <v>3000</v>
      </c>
      <c r="I40" s="24">
        <v>43.15</v>
      </c>
      <c r="J40" s="25">
        <f t="shared" si="1"/>
        <v>129450</v>
      </c>
    </row>
    <row r="41" spans="1:10" s="4" customFormat="1" ht="12" customHeight="1" x14ac:dyDescent="0.25">
      <c r="A41" s="8" t="s">
        <v>22</v>
      </c>
      <c r="D41" s="64" t="s">
        <v>23</v>
      </c>
      <c r="G41" s="69" t="s">
        <v>26</v>
      </c>
      <c r="H41" s="26">
        <v>7.0000000000000007E-2</v>
      </c>
      <c r="I41" s="27"/>
      <c r="J41" s="28">
        <f>-J33*H41</f>
        <v>-9168.3550000000014</v>
      </c>
    </row>
    <row r="42" spans="1:10" s="4" customFormat="1" ht="12" customHeight="1" x14ac:dyDescent="0.25">
      <c r="A42" s="155" t="s">
        <v>42</v>
      </c>
      <c r="B42" s="156"/>
      <c r="C42" s="157"/>
      <c r="D42" s="82" t="s">
        <v>40</v>
      </c>
      <c r="E42" s="77">
        <v>45693</v>
      </c>
      <c r="F42" s="78">
        <v>45694</v>
      </c>
      <c r="G42" s="70" t="s">
        <v>59</v>
      </c>
      <c r="H42" s="29">
        <v>0.02</v>
      </c>
      <c r="I42" s="30"/>
      <c r="J42" s="16">
        <f>(J33-J41)*H42</f>
        <v>2802.8971000000001</v>
      </c>
    </row>
    <row r="43" spans="1:10" s="4" customFormat="1" ht="12" customHeight="1" x14ac:dyDescent="0.25">
      <c r="A43" s="158"/>
      <c r="B43" s="159"/>
      <c r="C43" s="160"/>
      <c r="D43" s="180" t="s">
        <v>0</v>
      </c>
      <c r="E43" s="181"/>
      <c r="F43" s="182"/>
      <c r="G43" s="70" t="s">
        <v>60</v>
      </c>
      <c r="H43" s="31"/>
      <c r="I43" s="31"/>
      <c r="J43" s="32"/>
    </row>
    <row r="44" spans="1:10" s="4" customFormat="1" ht="12" customHeight="1" x14ac:dyDescent="0.25">
      <c r="A44" s="158"/>
      <c r="B44" s="159"/>
      <c r="C44" s="160"/>
      <c r="D44" s="83" t="s">
        <v>2</v>
      </c>
      <c r="E44" s="66" t="s">
        <v>3</v>
      </c>
      <c r="F44" s="79" t="s">
        <v>4</v>
      </c>
      <c r="G44" s="71" t="s">
        <v>5</v>
      </c>
      <c r="H44" s="33"/>
      <c r="I44" s="34"/>
      <c r="J44" s="35">
        <v>110000</v>
      </c>
    </row>
    <row r="45" spans="1:10" s="4" customFormat="1" ht="12" customHeight="1" x14ac:dyDescent="0.25">
      <c r="A45" s="158"/>
      <c r="B45" s="159"/>
      <c r="C45" s="160"/>
      <c r="D45" s="85">
        <v>30</v>
      </c>
      <c r="E45" s="86">
        <v>3070</v>
      </c>
      <c r="F45" s="87">
        <f>E45-D45</f>
        <v>3040</v>
      </c>
      <c r="G45" s="72" t="s">
        <v>27</v>
      </c>
      <c r="H45" s="39"/>
      <c r="I45" s="40"/>
      <c r="J45" s="41">
        <f>J33+J41+J42+J44</f>
        <v>234611.04210000002</v>
      </c>
    </row>
    <row r="46" spans="1:10" s="4" customFormat="1" ht="12" customHeight="1" x14ac:dyDescent="0.25">
      <c r="A46" s="161"/>
      <c r="B46" s="162"/>
      <c r="C46" s="163"/>
      <c r="D46" s="84" t="s">
        <v>41</v>
      </c>
      <c r="E46" s="80"/>
      <c r="F46" s="81"/>
      <c r="G46" s="73" t="s">
        <v>1</v>
      </c>
      <c r="H46" s="36">
        <v>0.1</v>
      </c>
      <c r="I46" s="37"/>
      <c r="J46" s="38">
        <f>(J33+J41)*0.1</f>
        <v>12180.8145</v>
      </c>
    </row>
    <row r="47" spans="1:10" s="4" customFormat="1" ht="12" customHeight="1" x14ac:dyDescent="0.25">
      <c r="A47" s="164" t="s">
        <v>52</v>
      </c>
      <c r="B47" s="165"/>
      <c r="C47" s="168" t="s">
        <v>53</v>
      </c>
      <c r="D47" s="165" t="s">
        <v>54</v>
      </c>
      <c r="E47" s="170"/>
      <c r="F47" s="171"/>
      <c r="G47" s="74" t="s">
        <v>27</v>
      </c>
      <c r="H47" s="54"/>
      <c r="I47" s="76"/>
      <c r="J47" s="55">
        <f>J45+J46</f>
        <v>246791.85660000003</v>
      </c>
    </row>
    <row r="48" spans="1:10" s="4" customFormat="1" ht="12" customHeight="1" thickBot="1" x14ac:dyDescent="0.3">
      <c r="A48" s="166"/>
      <c r="B48" s="167"/>
      <c r="C48" s="169"/>
      <c r="D48" s="167"/>
      <c r="E48" s="172"/>
      <c r="F48" s="173"/>
      <c r="G48" s="75" t="s">
        <v>61</v>
      </c>
      <c r="H48" s="65"/>
      <c r="I48" s="65"/>
      <c r="J48" s="22"/>
    </row>
    <row r="49" spans="1:10" ht="7.9" customHeight="1" x14ac:dyDescent="0.25">
      <c r="A49" s="42" t="s">
        <v>43</v>
      </c>
      <c r="B49" s="43"/>
      <c r="C49" s="43"/>
      <c r="D49" s="44"/>
      <c r="E49" s="45" t="s">
        <v>45</v>
      </c>
      <c r="F49" s="45"/>
      <c r="G49" s="46"/>
      <c r="H49" s="47" t="s">
        <v>58</v>
      </c>
      <c r="I49" s="46"/>
      <c r="J49" s="46"/>
    </row>
    <row r="50" spans="1:10" ht="7.9" customHeight="1" x14ac:dyDescent="0.25">
      <c r="A50" s="48" t="s">
        <v>44</v>
      </c>
      <c r="B50" s="17"/>
      <c r="C50" s="17"/>
      <c r="D50" s="49"/>
      <c r="E50" s="18" t="s">
        <v>44</v>
      </c>
      <c r="F50" s="18"/>
      <c r="G50" s="50"/>
      <c r="H50" s="51" t="s">
        <v>15</v>
      </c>
      <c r="I50" s="50"/>
      <c r="J50" s="50"/>
    </row>
    <row r="51" spans="1:10" ht="7.9" customHeight="1" x14ac:dyDescent="0.25">
      <c r="A51" s="52"/>
      <c r="B51" s="53"/>
      <c r="C51" s="53"/>
      <c r="D51" s="49"/>
      <c r="E51" s="18" t="s">
        <v>46</v>
      </c>
      <c r="F51" s="18"/>
      <c r="G51" s="50"/>
      <c r="H51" s="51" t="s">
        <v>57</v>
      </c>
      <c r="I51" s="50"/>
      <c r="J51" s="50"/>
    </row>
    <row r="52" spans="1:10" ht="7.9" customHeight="1" thickBot="1" x14ac:dyDescent="0.3">
      <c r="A52" s="13" t="s">
        <v>62</v>
      </c>
      <c r="B52" s="2"/>
      <c r="C52" s="2"/>
      <c r="D52" s="1"/>
      <c r="E52" s="183" t="s">
        <v>49</v>
      </c>
      <c r="F52" s="183"/>
      <c r="G52" s="13" t="s">
        <v>63</v>
      </c>
    </row>
    <row r="53" spans="1:10" s="4" customFormat="1" ht="13.9" customHeight="1" thickBot="1" x14ac:dyDescent="0.3">
      <c r="A53" s="5"/>
      <c r="B53" s="6"/>
      <c r="C53" s="7" t="s">
        <v>55</v>
      </c>
      <c r="D53" s="6"/>
      <c r="E53" s="6"/>
      <c r="F53" s="6"/>
      <c r="G53" s="96"/>
      <c r="H53" s="97"/>
      <c r="I53" s="97"/>
      <c r="J53" s="98" t="s">
        <v>6</v>
      </c>
    </row>
    <row r="54" spans="1:10" s="4" customFormat="1" ht="10.15" customHeight="1" x14ac:dyDescent="0.25">
      <c r="A54" s="8"/>
      <c r="C54" s="56" t="s">
        <v>56</v>
      </c>
      <c r="G54" s="206" t="s">
        <v>21</v>
      </c>
      <c r="H54" s="208" t="s">
        <v>48</v>
      </c>
      <c r="I54" s="209"/>
      <c r="J54" s="210"/>
    </row>
    <row r="55" spans="1:10" s="4" customFormat="1" ht="10.15" customHeight="1" thickBot="1" x14ac:dyDescent="0.3">
      <c r="A55" s="8"/>
      <c r="C55" s="56" t="s">
        <v>9</v>
      </c>
      <c r="G55" s="207"/>
      <c r="H55" s="211"/>
      <c r="I55" s="212"/>
      <c r="J55" s="213"/>
    </row>
    <row r="56" spans="1:10" s="4" customFormat="1" ht="10.15" customHeight="1" x14ac:dyDescent="0.25">
      <c r="A56" s="8"/>
      <c r="C56" s="56" t="s">
        <v>10</v>
      </c>
      <c r="G56" s="67" t="s">
        <v>28</v>
      </c>
      <c r="H56" s="190" t="s">
        <v>36</v>
      </c>
      <c r="I56" s="190" t="s">
        <v>25</v>
      </c>
      <c r="J56" s="193" t="s">
        <v>8</v>
      </c>
    </row>
    <row r="57" spans="1:10" s="4" customFormat="1" ht="10.15" customHeight="1" x14ac:dyDescent="0.25">
      <c r="A57" s="8"/>
      <c r="C57" s="57" t="s">
        <v>11</v>
      </c>
      <c r="G57" s="196" t="s">
        <v>29</v>
      </c>
      <c r="H57" s="191"/>
      <c r="I57" s="191"/>
      <c r="J57" s="194"/>
    </row>
    <row r="58" spans="1:10" s="4" customFormat="1" ht="2.4500000000000002" customHeight="1" x14ac:dyDescent="0.25">
      <c r="A58" s="8"/>
      <c r="C58" s="58"/>
      <c r="G58" s="197"/>
      <c r="H58" s="192"/>
      <c r="I58" s="192"/>
      <c r="J58" s="195"/>
    </row>
    <row r="59" spans="1:10" s="4" customFormat="1" ht="14.45" customHeight="1" x14ac:dyDescent="0.25">
      <c r="A59" s="9" t="s">
        <v>12</v>
      </c>
      <c r="B59" s="59"/>
      <c r="C59" s="60"/>
      <c r="E59" s="61" t="s">
        <v>20</v>
      </c>
      <c r="F59" s="62" t="s">
        <v>35</v>
      </c>
      <c r="G59" s="88" t="s">
        <v>24</v>
      </c>
      <c r="H59" s="89">
        <f>SUM(H60:H66)</f>
        <v>3040</v>
      </c>
      <c r="I59" s="90"/>
      <c r="J59" s="91">
        <f>SUM(J60:J66)</f>
        <v>130976.5</v>
      </c>
    </row>
    <row r="60" spans="1:10" s="4" customFormat="1" ht="12" customHeight="1" x14ac:dyDescent="0.25">
      <c r="A60" s="8"/>
      <c r="B60" s="63" t="s">
        <v>37</v>
      </c>
      <c r="D60" s="184" t="s">
        <v>39</v>
      </c>
      <c r="E60" s="186" t="s">
        <v>47</v>
      </c>
      <c r="F60" s="187"/>
      <c r="G60" s="174" t="s">
        <v>7</v>
      </c>
      <c r="H60" s="176"/>
      <c r="I60" s="174">
        <v>352</v>
      </c>
      <c r="J60" s="178"/>
    </row>
    <row r="61" spans="1:10" s="4" customFormat="1" ht="2.4500000000000002" customHeight="1" x14ac:dyDescent="0.25">
      <c r="A61" s="8"/>
      <c r="B61" s="63"/>
      <c r="D61" s="185"/>
      <c r="E61" s="188"/>
      <c r="F61" s="189"/>
      <c r="G61" s="175"/>
      <c r="H61" s="177"/>
      <c r="I61" s="175"/>
      <c r="J61" s="179"/>
    </row>
    <row r="62" spans="1:10" s="4" customFormat="1" ht="12" customHeight="1" x14ac:dyDescent="0.25">
      <c r="A62" s="19"/>
      <c r="B62" s="63" t="s">
        <v>38</v>
      </c>
      <c r="G62" s="30" t="s">
        <v>30</v>
      </c>
      <c r="H62" s="14">
        <v>10</v>
      </c>
      <c r="I62" s="15">
        <v>35.200000000000003</v>
      </c>
      <c r="J62" s="16">
        <f>H62*I62</f>
        <v>352</v>
      </c>
    </row>
    <row r="63" spans="1:10" s="4" customFormat="1" ht="12" customHeight="1" x14ac:dyDescent="0.25">
      <c r="A63" s="10" t="s">
        <v>13</v>
      </c>
      <c r="B63" s="61"/>
      <c r="G63" s="30" t="s">
        <v>31</v>
      </c>
      <c r="H63" s="14">
        <v>10</v>
      </c>
      <c r="I63" s="15">
        <v>37.15</v>
      </c>
      <c r="J63" s="16">
        <f>H63*I63</f>
        <v>371.5</v>
      </c>
    </row>
    <row r="64" spans="1:10" s="4" customFormat="1" ht="12" customHeight="1" x14ac:dyDescent="0.25">
      <c r="A64" s="8" t="s">
        <v>14</v>
      </c>
      <c r="D64" s="11" t="s">
        <v>17</v>
      </c>
      <c r="E64" s="11"/>
      <c r="F64" s="11"/>
      <c r="G64" s="30" t="s">
        <v>32</v>
      </c>
      <c r="H64" s="14">
        <v>10</v>
      </c>
      <c r="I64" s="15">
        <v>39.15</v>
      </c>
      <c r="J64" s="16">
        <f t="shared" ref="J64:J66" si="2">H64*I64</f>
        <v>391.5</v>
      </c>
    </row>
    <row r="65" spans="1:10" s="4" customFormat="1" ht="12" customHeight="1" x14ac:dyDescent="0.25">
      <c r="A65" s="8" t="s">
        <v>15</v>
      </c>
      <c r="D65" s="12" t="s">
        <v>18</v>
      </c>
      <c r="E65" s="12"/>
      <c r="F65" s="12"/>
      <c r="G65" s="30" t="s">
        <v>33</v>
      </c>
      <c r="H65" s="14">
        <v>10</v>
      </c>
      <c r="I65" s="15">
        <v>41.15</v>
      </c>
      <c r="J65" s="16">
        <f t="shared" si="2"/>
        <v>411.5</v>
      </c>
    </row>
    <row r="66" spans="1:10" s="4" customFormat="1" ht="12" customHeight="1" x14ac:dyDescent="0.25">
      <c r="A66" s="8" t="s">
        <v>16</v>
      </c>
      <c r="D66" s="12" t="s">
        <v>19</v>
      </c>
      <c r="E66" s="12"/>
      <c r="F66" s="12"/>
      <c r="G66" s="68" t="s">
        <v>34</v>
      </c>
      <c r="H66" s="23">
        <v>3000</v>
      </c>
      <c r="I66" s="24">
        <v>43.15</v>
      </c>
      <c r="J66" s="25">
        <f t="shared" si="2"/>
        <v>129450</v>
      </c>
    </row>
    <row r="67" spans="1:10" s="4" customFormat="1" ht="12" customHeight="1" x14ac:dyDescent="0.25">
      <c r="A67" s="8" t="s">
        <v>22</v>
      </c>
      <c r="D67" s="64" t="s">
        <v>23</v>
      </c>
      <c r="G67" s="69" t="s">
        <v>26</v>
      </c>
      <c r="H67" s="26">
        <v>7.0000000000000007E-2</v>
      </c>
      <c r="I67" s="27"/>
      <c r="J67" s="28">
        <f>-J59*H67</f>
        <v>-9168.3550000000014</v>
      </c>
    </row>
    <row r="68" spans="1:10" s="4" customFormat="1" ht="12" customHeight="1" x14ac:dyDescent="0.25">
      <c r="A68" s="155" t="s">
        <v>42</v>
      </c>
      <c r="B68" s="156"/>
      <c r="C68" s="157"/>
      <c r="D68" s="82" t="s">
        <v>40</v>
      </c>
      <c r="E68" s="77">
        <v>45693</v>
      </c>
      <c r="F68" s="78">
        <v>45694</v>
      </c>
      <c r="G68" s="70" t="s">
        <v>59</v>
      </c>
      <c r="H68" s="29">
        <v>0.02</v>
      </c>
      <c r="I68" s="30"/>
      <c r="J68" s="16">
        <f>(J59-J67)*H68</f>
        <v>2802.8971000000001</v>
      </c>
    </row>
    <row r="69" spans="1:10" s="4" customFormat="1" ht="12" customHeight="1" x14ac:dyDescent="0.25">
      <c r="A69" s="158"/>
      <c r="B69" s="159"/>
      <c r="C69" s="160"/>
      <c r="D69" s="180" t="s">
        <v>0</v>
      </c>
      <c r="E69" s="181"/>
      <c r="F69" s="182"/>
      <c r="G69" s="70" t="s">
        <v>60</v>
      </c>
      <c r="H69" s="31"/>
      <c r="I69" s="31"/>
      <c r="J69" s="32"/>
    </row>
    <row r="70" spans="1:10" s="4" customFormat="1" ht="12" customHeight="1" x14ac:dyDescent="0.25">
      <c r="A70" s="158"/>
      <c r="B70" s="159"/>
      <c r="C70" s="160"/>
      <c r="D70" s="83" t="s">
        <v>2</v>
      </c>
      <c r="E70" s="66" t="s">
        <v>3</v>
      </c>
      <c r="F70" s="79" t="s">
        <v>4</v>
      </c>
      <c r="G70" s="71" t="s">
        <v>5</v>
      </c>
      <c r="H70" s="33"/>
      <c r="I70" s="34"/>
      <c r="J70" s="35">
        <v>110000</v>
      </c>
    </row>
    <row r="71" spans="1:10" s="4" customFormat="1" ht="12" customHeight="1" x14ac:dyDescent="0.25">
      <c r="A71" s="158"/>
      <c r="B71" s="159"/>
      <c r="C71" s="160"/>
      <c r="D71" s="85">
        <v>30</v>
      </c>
      <c r="E71" s="86">
        <v>3070</v>
      </c>
      <c r="F71" s="87">
        <f>E71-D71</f>
        <v>3040</v>
      </c>
      <c r="G71" s="72" t="s">
        <v>27</v>
      </c>
      <c r="H71" s="39"/>
      <c r="I71" s="40"/>
      <c r="J71" s="41">
        <f>J59+J67+J68+J70</f>
        <v>234611.04210000002</v>
      </c>
    </row>
    <row r="72" spans="1:10" s="4" customFormat="1" ht="12" customHeight="1" x14ac:dyDescent="0.25">
      <c r="A72" s="161"/>
      <c r="B72" s="162"/>
      <c r="C72" s="163"/>
      <c r="D72" s="84" t="s">
        <v>41</v>
      </c>
      <c r="E72" s="80"/>
      <c r="F72" s="81"/>
      <c r="G72" s="73" t="s">
        <v>1</v>
      </c>
      <c r="H72" s="36">
        <v>0.1</v>
      </c>
      <c r="I72" s="37"/>
      <c r="J72" s="38">
        <f>(J59+J67)*0.1</f>
        <v>12180.8145</v>
      </c>
    </row>
    <row r="73" spans="1:10" s="4" customFormat="1" ht="12" customHeight="1" x14ac:dyDescent="0.25">
      <c r="A73" s="164" t="s">
        <v>52</v>
      </c>
      <c r="B73" s="165"/>
      <c r="C73" s="168" t="s">
        <v>53</v>
      </c>
      <c r="D73" s="165" t="s">
        <v>54</v>
      </c>
      <c r="E73" s="170"/>
      <c r="F73" s="171"/>
      <c r="G73" s="74" t="s">
        <v>27</v>
      </c>
      <c r="H73" s="54"/>
      <c r="I73" s="76"/>
      <c r="J73" s="55">
        <f>J71+J72</f>
        <v>246791.85660000003</v>
      </c>
    </row>
    <row r="74" spans="1:10" s="4" customFormat="1" ht="12" customHeight="1" thickBot="1" x14ac:dyDescent="0.3">
      <c r="A74" s="166"/>
      <c r="B74" s="167"/>
      <c r="C74" s="169"/>
      <c r="D74" s="167"/>
      <c r="E74" s="172"/>
      <c r="F74" s="173"/>
      <c r="G74" s="75" t="s">
        <v>61</v>
      </c>
      <c r="H74" s="65"/>
      <c r="I74" s="65"/>
      <c r="J74" s="22"/>
    </row>
    <row r="75" spans="1:10" ht="7.9" customHeight="1" x14ac:dyDescent="0.25">
      <c r="A75" s="42" t="s">
        <v>43</v>
      </c>
      <c r="B75" s="43"/>
      <c r="C75" s="43"/>
      <c r="D75" s="44"/>
      <c r="E75" s="45" t="s">
        <v>45</v>
      </c>
      <c r="F75" s="45"/>
      <c r="G75" s="46"/>
      <c r="H75" s="47" t="s">
        <v>58</v>
      </c>
      <c r="I75" s="46"/>
      <c r="J75" s="46"/>
    </row>
    <row r="76" spans="1:10" ht="7.9" customHeight="1" x14ac:dyDescent="0.25">
      <c r="A76" s="48" t="s">
        <v>44</v>
      </c>
      <c r="B76" s="17"/>
      <c r="C76" s="17"/>
      <c r="D76" s="49"/>
      <c r="E76" s="18" t="s">
        <v>44</v>
      </c>
      <c r="F76" s="18"/>
      <c r="G76" s="50"/>
      <c r="H76" s="51" t="s">
        <v>15</v>
      </c>
      <c r="I76" s="50"/>
      <c r="J76" s="50"/>
    </row>
    <row r="77" spans="1:10" ht="7.9" customHeight="1" x14ac:dyDescent="0.25">
      <c r="A77" s="52"/>
      <c r="B77" s="53"/>
      <c r="C77" s="53"/>
      <c r="D77" s="49"/>
      <c r="E77" s="18" t="s">
        <v>46</v>
      </c>
      <c r="F77" s="18"/>
      <c r="G77" s="50"/>
      <c r="H77" s="51" t="s">
        <v>57</v>
      </c>
      <c r="I77" s="50"/>
      <c r="J77" s="50"/>
    </row>
  </sheetData>
  <mergeCells count="57">
    <mergeCell ref="G54:G55"/>
    <mergeCell ref="H54:J55"/>
    <mergeCell ref="E26:F26"/>
    <mergeCell ref="H30:H32"/>
    <mergeCell ref="I30:I32"/>
    <mergeCell ref="J30:J32"/>
    <mergeCell ref="G31:G32"/>
    <mergeCell ref="D43:F43"/>
    <mergeCell ref="K2:K4"/>
    <mergeCell ref="G2:G3"/>
    <mergeCell ref="H2:J3"/>
    <mergeCell ref="J4:J6"/>
    <mergeCell ref="G5:G6"/>
    <mergeCell ref="H4:H6"/>
    <mergeCell ref="I4:I6"/>
    <mergeCell ref="H34:H35"/>
    <mergeCell ref="I34:I35"/>
    <mergeCell ref="A21:B22"/>
    <mergeCell ref="C21:C22"/>
    <mergeCell ref="D21:D22"/>
    <mergeCell ref="E21:F22"/>
    <mergeCell ref="J8:J9"/>
    <mergeCell ref="D17:F17"/>
    <mergeCell ref="A16:C20"/>
    <mergeCell ref="G28:G29"/>
    <mergeCell ref="H28:J29"/>
    <mergeCell ref="G8:G9"/>
    <mergeCell ref="H8:H9"/>
    <mergeCell ref="I8:I9"/>
    <mergeCell ref="D8:D9"/>
    <mergeCell ref="E8:F9"/>
    <mergeCell ref="H60:H61"/>
    <mergeCell ref="I60:I61"/>
    <mergeCell ref="J60:J61"/>
    <mergeCell ref="J34:J35"/>
    <mergeCell ref="A68:C72"/>
    <mergeCell ref="D69:F69"/>
    <mergeCell ref="E52:F52"/>
    <mergeCell ref="D60:D61"/>
    <mergeCell ref="E60:F61"/>
    <mergeCell ref="H56:H58"/>
    <mergeCell ref="I56:I58"/>
    <mergeCell ref="J56:J58"/>
    <mergeCell ref="G57:G58"/>
    <mergeCell ref="D34:D35"/>
    <mergeCell ref="E34:F35"/>
    <mergeCell ref="G34:G35"/>
    <mergeCell ref="A73:B74"/>
    <mergeCell ref="C73:C74"/>
    <mergeCell ref="D73:D74"/>
    <mergeCell ref="E73:F74"/>
    <mergeCell ref="G60:G61"/>
    <mergeCell ref="A42:C46"/>
    <mergeCell ref="A47:B48"/>
    <mergeCell ref="C47:C48"/>
    <mergeCell ref="D47:D48"/>
    <mergeCell ref="E47:F48"/>
  </mergeCells>
  <pageMargins left="0.39370078740157483" right="0.39370078740157483" top="0.23622047244094491" bottom="0.23622047244094491" header="0.31496062992125984" footer="0.31496062992125984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5557E-DA89-4EB2-8559-43F704A64A13}">
  <dimension ref="A1:M77"/>
  <sheetViews>
    <sheetView topLeftCell="A7" zoomScale="130" zoomScaleNormal="130" workbookViewId="0">
      <selection activeCell="G45" sqref="G45"/>
    </sheetView>
  </sheetViews>
  <sheetFormatPr defaultRowHeight="15" x14ac:dyDescent="0.25"/>
  <cols>
    <col min="1" max="1" width="2.42578125" customWidth="1"/>
    <col min="2" max="2" width="6.42578125" customWidth="1"/>
    <col min="3" max="3" width="11.140625" customWidth="1"/>
    <col min="4" max="4" width="11.28515625" customWidth="1"/>
    <col min="5" max="5" width="10.42578125" customWidth="1"/>
    <col min="6" max="6" width="11.42578125" customWidth="1"/>
    <col min="7" max="7" width="17.28515625" customWidth="1"/>
    <col min="8" max="8" width="7.42578125" style="3" customWidth="1"/>
    <col min="9" max="9" width="6.28515625" customWidth="1"/>
    <col min="10" max="10" width="10.7109375" customWidth="1"/>
  </cols>
  <sheetData>
    <row r="1" spans="1:13" s="4" customFormat="1" ht="13.9" customHeight="1" x14ac:dyDescent="0.25">
      <c r="A1" s="5"/>
      <c r="B1" s="6"/>
      <c r="C1" s="7" t="s">
        <v>55</v>
      </c>
      <c r="D1" s="6"/>
      <c r="E1" s="6"/>
      <c r="F1" s="6"/>
      <c r="G1" s="92"/>
      <c r="H1" s="93"/>
      <c r="I1" s="93"/>
      <c r="J1" s="94" t="s">
        <v>50</v>
      </c>
    </row>
    <row r="2" spans="1:13" s="4" customFormat="1" ht="10.15" customHeight="1" x14ac:dyDescent="0.25">
      <c r="A2" s="8"/>
      <c r="C2" s="56" t="s">
        <v>65</v>
      </c>
      <c r="G2" s="198" t="s">
        <v>21</v>
      </c>
      <c r="H2" s="199"/>
      <c r="I2" s="200"/>
      <c r="J2" s="201"/>
      <c r="K2" s="202">
        <v>10</v>
      </c>
    </row>
    <row r="3" spans="1:13" s="4" customFormat="1" ht="10.15" customHeight="1" x14ac:dyDescent="0.25">
      <c r="A3" s="8"/>
      <c r="C3" s="56" t="s">
        <v>66</v>
      </c>
      <c r="G3" s="198"/>
      <c r="H3" s="199"/>
      <c r="I3" s="200"/>
      <c r="J3" s="201"/>
      <c r="K3" s="202"/>
    </row>
    <row r="4" spans="1:13" s="4" customFormat="1" ht="10.15" customHeight="1" x14ac:dyDescent="0.25">
      <c r="A4" s="8"/>
      <c r="C4" s="56" t="s">
        <v>10</v>
      </c>
      <c r="G4" s="143" t="s">
        <v>28</v>
      </c>
      <c r="H4" s="248" t="s">
        <v>36</v>
      </c>
      <c r="I4" s="248" t="s">
        <v>25</v>
      </c>
      <c r="J4" s="249" t="s">
        <v>8</v>
      </c>
      <c r="K4" s="202"/>
    </row>
    <row r="5" spans="1:13" s="4" customFormat="1" ht="12" customHeight="1" x14ac:dyDescent="0.25">
      <c r="A5" s="8"/>
      <c r="C5" s="57" t="s">
        <v>11</v>
      </c>
      <c r="G5" s="240" t="s">
        <v>29</v>
      </c>
      <c r="H5" s="248"/>
      <c r="I5" s="248"/>
      <c r="J5" s="249"/>
    </row>
    <row r="6" spans="1:13" s="4" customFormat="1" ht="2.4500000000000002" customHeight="1" x14ac:dyDescent="0.25">
      <c r="A6" s="8"/>
      <c r="C6" s="58"/>
      <c r="G6" s="241"/>
      <c r="H6" s="248"/>
      <c r="I6" s="248"/>
      <c r="J6" s="249"/>
    </row>
    <row r="7" spans="1:13" s="4" customFormat="1" ht="13.9" customHeight="1" x14ac:dyDescent="0.25">
      <c r="A7" s="9" t="s">
        <v>12</v>
      </c>
      <c r="B7" s="59"/>
      <c r="C7" s="60"/>
      <c r="E7" s="61" t="s">
        <v>20</v>
      </c>
      <c r="F7" s="62"/>
      <c r="G7" s="108" t="s">
        <v>24</v>
      </c>
      <c r="H7" s="109"/>
      <c r="I7" s="110"/>
      <c r="J7" s="111"/>
    </row>
    <row r="8" spans="1:13" s="4" customFormat="1" ht="9.6" customHeight="1" x14ac:dyDescent="0.25">
      <c r="A8" s="8"/>
      <c r="B8" s="63" t="s">
        <v>37</v>
      </c>
      <c r="D8" s="184" t="s">
        <v>39</v>
      </c>
      <c r="E8" s="186"/>
      <c r="F8" s="187"/>
      <c r="G8" s="242" t="s">
        <v>7</v>
      </c>
      <c r="H8" s="244"/>
      <c r="I8" s="246"/>
      <c r="J8" s="232"/>
    </row>
    <row r="9" spans="1:13" s="4" customFormat="1" ht="2.4500000000000002" customHeight="1" x14ac:dyDescent="0.25">
      <c r="A9" s="8"/>
      <c r="B9" s="63"/>
      <c r="D9" s="185"/>
      <c r="E9" s="188"/>
      <c r="F9" s="189"/>
      <c r="G9" s="243"/>
      <c r="H9" s="245"/>
      <c r="I9" s="247"/>
      <c r="J9" s="233"/>
    </row>
    <row r="10" spans="1:13" s="4" customFormat="1" ht="12" customHeight="1" x14ac:dyDescent="0.25">
      <c r="A10" s="19"/>
      <c r="B10" s="63" t="s">
        <v>38</v>
      </c>
      <c r="G10" s="112" t="s">
        <v>30</v>
      </c>
      <c r="H10" s="113"/>
      <c r="I10" s="114"/>
      <c r="J10" s="115"/>
    </row>
    <row r="11" spans="1:13" s="4" customFormat="1" ht="12" customHeight="1" x14ac:dyDescent="0.25">
      <c r="A11" s="10" t="s">
        <v>13</v>
      </c>
      <c r="B11" s="61"/>
      <c r="G11" s="112" t="s">
        <v>31</v>
      </c>
      <c r="H11" s="113"/>
      <c r="I11" s="114"/>
      <c r="J11" s="115"/>
    </row>
    <row r="12" spans="1:13" s="4" customFormat="1" ht="12" customHeight="1" x14ac:dyDescent="0.25">
      <c r="A12" s="8" t="s">
        <v>14</v>
      </c>
      <c r="D12" s="102"/>
      <c r="E12" s="102"/>
      <c r="F12" s="103"/>
      <c r="G12" s="112" t="s">
        <v>32</v>
      </c>
      <c r="H12" s="113"/>
      <c r="I12" s="114"/>
      <c r="J12" s="115"/>
    </row>
    <row r="13" spans="1:13" s="4" customFormat="1" ht="12" customHeight="1" x14ac:dyDescent="0.25">
      <c r="A13" s="8" t="s">
        <v>15</v>
      </c>
      <c r="D13" s="104"/>
      <c r="E13" s="104"/>
      <c r="F13" s="105"/>
      <c r="G13" s="112" t="s">
        <v>33</v>
      </c>
      <c r="H13" s="113"/>
      <c r="I13" s="114"/>
      <c r="J13" s="115"/>
    </row>
    <row r="14" spans="1:13" s="4" customFormat="1" ht="12" customHeight="1" x14ac:dyDescent="0.25">
      <c r="A14" s="8" t="s">
        <v>16</v>
      </c>
      <c r="D14" s="104"/>
      <c r="E14" s="104"/>
      <c r="F14" s="105"/>
      <c r="G14" s="116" t="s">
        <v>34</v>
      </c>
      <c r="H14" s="117"/>
      <c r="I14" s="118"/>
      <c r="J14" s="119"/>
    </row>
    <row r="15" spans="1:13" s="4" customFormat="1" ht="12" customHeight="1" x14ac:dyDescent="0.25">
      <c r="A15" s="8" t="s">
        <v>22</v>
      </c>
      <c r="D15" s="106"/>
      <c r="E15" s="101"/>
      <c r="F15" s="107"/>
      <c r="G15" s="145" t="s">
        <v>67</v>
      </c>
      <c r="H15" s="120"/>
      <c r="I15" s="121"/>
      <c r="J15" s="122"/>
    </row>
    <row r="16" spans="1:13" s="4" customFormat="1" ht="12" customHeight="1" x14ac:dyDescent="0.25">
      <c r="A16" s="223" t="s">
        <v>68</v>
      </c>
      <c r="B16" s="224"/>
      <c r="C16" s="227"/>
      <c r="D16" s="82" t="s">
        <v>40</v>
      </c>
      <c r="E16" s="77"/>
      <c r="F16" s="78"/>
      <c r="G16" s="123" t="s">
        <v>59</v>
      </c>
      <c r="H16" s="124">
        <v>0.02</v>
      </c>
      <c r="I16" s="125"/>
      <c r="J16" s="115"/>
      <c r="L16" s="20"/>
      <c r="M16" s="21"/>
    </row>
    <row r="17" spans="1:10" s="4" customFormat="1" ht="12" customHeight="1" x14ac:dyDescent="0.25">
      <c r="A17" s="225"/>
      <c r="B17" s="226"/>
      <c r="C17" s="228"/>
      <c r="D17" s="180" t="s">
        <v>0</v>
      </c>
      <c r="E17" s="181"/>
      <c r="F17" s="182"/>
      <c r="G17" s="123" t="s">
        <v>60</v>
      </c>
      <c r="H17" s="126"/>
      <c r="I17" s="126"/>
      <c r="J17" s="127"/>
    </row>
    <row r="18" spans="1:10" s="4" customFormat="1" ht="12" customHeight="1" x14ac:dyDescent="0.25">
      <c r="A18" s="225" t="s">
        <v>71</v>
      </c>
      <c r="B18" s="226"/>
      <c r="C18" s="228"/>
      <c r="D18" s="83" t="s">
        <v>2</v>
      </c>
      <c r="E18" s="66" t="s">
        <v>3</v>
      </c>
      <c r="F18" s="79" t="s">
        <v>4</v>
      </c>
      <c r="G18" s="128" t="s">
        <v>5</v>
      </c>
      <c r="H18" s="129"/>
      <c r="I18" s="130"/>
      <c r="J18" s="115"/>
    </row>
    <row r="19" spans="1:10" s="4" customFormat="1" ht="15" customHeight="1" x14ac:dyDescent="0.25">
      <c r="A19" s="229"/>
      <c r="B19" s="230"/>
      <c r="C19" s="231"/>
      <c r="D19" s="85"/>
      <c r="E19" s="86"/>
      <c r="F19" s="87"/>
      <c r="G19" s="100" t="s">
        <v>64</v>
      </c>
      <c r="H19" s="101"/>
      <c r="I19" s="144"/>
      <c r="J19" s="131"/>
    </row>
    <row r="20" spans="1:10" s="4" customFormat="1" ht="12" customHeight="1" x14ac:dyDescent="0.25">
      <c r="A20" s="217" t="s">
        <v>42</v>
      </c>
      <c r="B20" s="218"/>
      <c r="C20" s="218"/>
      <c r="D20" s="146" t="s">
        <v>41</v>
      </c>
      <c r="E20" s="80"/>
      <c r="F20" s="81"/>
      <c r="G20" s="132" t="s">
        <v>27</v>
      </c>
      <c r="H20" s="133"/>
      <c r="I20" s="134"/>
      <c r="J20" s="135"/>
    </row>
    <row r="21" spans="1:10" s="4" customFormat="1" ht="12" customHeight="1" x14ac:dyDescent="0.25">
      <c r="A21" s="217"/>
      <c r="B21" s="218"/>
      <c r="C21" s="218"/>
      <c r="D21" s="147" t="s">
        <v>69</v>
      </c>
      <c r="E21" s="148"/>
      <c r="F21" s="149"/>
      <c r="G21" s="136" t="s">
        <v>1</v>
      </c>
      <c r="H21" s="137">
        <v>0.1</v>
      </c>
      <c r="I21" s="138"/>
      <c r="J21" s="139"/>
    </row>
    <row r="22" spans="1:10" s="4" customFormat="1" ht="9" customHeight="1" thickBot="1" x14ac:dyDescent="0.3">
      <c r="A22" s="220"/>
      <c r="B22" s="221"/>
      <c r="C22" s="221"/>
      <c r="D22" s="150" t="s">
        <v>70</v>
      </c>
      <c r="E22" s="151"/>
      <c r="F22" s="152"/>
      <c r="G22" s="140" t="s">
        <v>27</v>
      </c>
      <c r="H22" s="141"/>
      <c r="I22" s="141"/>
      <c r="J22" s="142"/>
    </row>
    <row r="23" spans="1:10" ht="8.4499999999999993" customHeight="1" x14ac:dyDescent="0.25">
      <c r="A23" s="42" t="s">
        <v>43</v>
      </c>
      <c r="B23" s="43"/>
      <c r="C23" s="43"/>
      <c r="D23" s="44"/>
      <c r="E23" s="45" t="s">
        <v>76</v>
      </c>
      <c r="F23" s="45"/>
      <c r="G23" s="47" t="s">
        <v>72</v>
      </c>
      <c r="H23" s="47"/>
      <c r="I23" s="46"/>
      <c r="J23" s="46"/>
    </row>
    <row r="24" spans="1:10" ht="8.4499999999999993" customHeight="1" x14ac:dyDescent="0.25">
      <c r="A24" s="48" t="s">
        <v>44</v>
      </c>
      <c r="B24" s="17"/>
      <c r="C24" s="17"/>
      <c r="D24" s="49"/>
      <c r="E24" s="18" t="s">
        <v>44</v>
      </c>
      <c r="F24" s="18"/>
      <c r="G24" s="51" t="s">
        <v>73</v>
      </c>
      <c r="H24" s="51"/>
      <c r="I24" s="50"/>
      <c r="J24" s="50"/>
    </row>
    <row r="25" spans="1:10" ht="8.4499999999999993" customHeight="1" x14ac:dyDescent="0.25">
      <c r="A25" s="52"/>
      <c r="B25" s="53"/>
      <c r="C25" s="53"/>
      <c r="D25" s="49"/>
      <c r="E25" s="18" t="s">
        <v>75</v>
      </c>
      <c r="F25" s="18"/>
      <c r="G25" s="51" t="s">
        <v>74</v>
      </c>
      <c r="H25" s="51"/>
      <c r="I25" s="50"/>
      <c r="J25" s="50"/>
    </row>
    <row r="26" spans="1:10" ht="3" customHeight="1" thickBot="1" x14ac:dyDescent="0.3">
      <c r="A26" s="13" t="s">
        <v>62</v>
      </c>
      <c r="B26" s="2"/>
      <c r="C26" s="2"/>
      <c r="D26" s="1"/>
      <c r="E26" s="183" t="s">
        <v>49</v>
      </c>
      <c r="F26" s="183"/>
      <c r="G26" s="13" t="s">
        <v>63</v>
      </c>
    </row>
    <row r="27" spans="1:10" s="4" customFormat="1" ht="13.9" customHeight="1" x14ac:dyDescent="0.25">
      <c r="A27" s="5"/>
      <c r="B27" s="6"/>
      <c r="C27" s="7" t="s">
        <v>55</v>
      </c>
      <c r="D27" s="6"/>
      <c r="E27" s="6"/>
      <c r="F27" s="6"/>
      <c r="G27" s="92"/>
      <c r="H27" s="93"/>
      <c r="I27" s="93"/>
      <c r="J27" s="94" t="s">
        <v>51</v>
      </c>
    </row>
    <row r="28" spans="1:10" s="4" customFormat="1" ht="10.15" customHeight="1" x14ac:dyDescent="0.25">
      <c r="A28" s="8"/>
      <c r="C28" s="56" t="s">
        <v>65</v>
      </c>
      <c r="G28" s="198" t="s">
        <v>21</v>
      </c>
      <c r="H28" s="199"/>
      <c r="I28" s="200"/>
      <c r="J28" s="201"/>
    </row>
    <row r="29" spans="1:10" s="4" customFormat="1" ht="10.15" customHeight="1" x14ac:dyDescent="0.25">
      <c r="A29" s="8"/>
      <c r="C29" s="56" t="s">
        <v>66</v>
      </c>
      <c r="G29" s="198"/>
      <c r="H29" s="199"/>
      <c r="I29" s="200"/>
      <c r="J29" s="201"/>
    </row>
    <row r="30" spans="1:10" s="4" customFormat="1" ht="10.15" customHeight="1" x14ac:dyDescent="0.25">
      <c r="A30" s="8"/>
      <c r="C30" s="56" t="s">
        <v>10</v>
      </c>
      <c r="G30" s="143" t="s">
        <v>28</v>
      </c>
      <c r="H30" s="248" t="s">
        <v>36</v>
      </c>
      <c r="I30" s="248" t="s">
        <v>25</v>
      </c>
      <c r="J30" s="249" t="s">
        <v>8</v>
      </c>
    </row>
    <row r="31" spans="1:10" s="4" customFormat="1" ht="10.15" customHeight="1" x14ac:dyDescent="0.25">
      <c r="A31" s="8"/>
      <c r="C31" s="57" t="s">
        <v>11</v>
      </c>
      <c r="G31" s="240" t="s">
        <v>29</v>
      </c>
      <c r="H31" s="248"/>
      <c r="I31" s="248"/>
      <c r="J31" s="249"/>
    </row>
    <row r="32" spans="1:10" s="4" customFormat="1" ht="2.4500000000000002" customHeight="1" x14ac:dyDescent="0.25">
      <c r="A32" s="8"/>
      <c r="C32" s="58"/>
      <c r="G32" s="241"/>
      <c r="H32" s="248"/>
      <c r="I32" s="248"/>
      <c r="J32" s="249"/>
    </row>
    <row r="33" spans="1:10" s="4" customFormat="1" ht="13.9" customHeight="1" x14ac:dyDescent="0.25">
      <c r="A33" s="9" t="s">
        <v>12</v>
      </c>
      <c r="B33" s="59"/>
      <c r="C33" s="60"/>
      <c r="E33" s="61" t="s">
        <v>20</v>
      </c>
      <c r="F33" s="62"/>
      <c r="G33" s="108" t="s">
        <v>24</v>
      </c>
      <c r="H33" s="109"/>
      <c r="I33" s="110"/>
      <c r="J33" s="111"/>
    </row>
    <row r="34" spans="1:10" s="4" customFormat="1" ht="11.45" customHeight="1" x14ac:dyDescent="0.25">
      <c r="A34" s="8"/>
      <c r="B34" s="63" t="s">
        <v>37</v>
      </c>
      <c r="D34" s="184" t="s">
        <v>39</v>
      </c>
      <c r="E34" s="186"/>
      <c r="F34" s="187"/>
      <c r="G34" s="242" t="s">
        <v>7</v>
      </c>
      <c r="H34" s="244"/>
      <c r="I34" s="246"/>
      <c r="J34" s="232"/>
    </row>
    <row r="35" spans="1:10" s="4" customFormat="1" ht="2.4500000000000002" customHeight="1" x14ac:dyDescent="0.25">
      <c r="A35" s="8"/>
      <c r="B35" s="63"/>
      <c r="D35" s="185"/>
      <c r="E35" s="188"/>
      <c r="F35" s="189"/>
      <c r="G35" s="243"/>
      <c r="H35" s="245"/>
      <c r="I35" s="247"/>
      <c r="J35" s="233"/>
    </row>
    <row r="36" spans="1:10" s="4" customFormat="1" ht="12" customHeight="1" x14ac:dyDescent="0.25">
      <c r="A36" s="19"/>
      <c r="B36" s="63" t="s">
        <v>38</v>
      </c>
      <c r="G36" s="112" t="s">
        <v>30</v>
      </c>
      <c r="H36" s="113"/>
      <c r="I36" s="114"/>
      <c r="J36" s="115"/>
    </row>
    <row r="37" spans="1:10" s="4" customFormat="1" ht="12" customHeight="1" x14ac:dyDescent="0.25">
      <c r="A37" s="10" t="s">
        <v>13</v>
      </c>
      <c r="B37" s="61"/>
      <c r="G37" s="112" t="s">
        <v>31</v>
      </c>
      <c r="H37" s="113"/>
      <c r="I37" s="114"/>
      <c r="J37" s="115"/>
    </row>
    <row r="38" spans="1:10" s="4" customFormat="1" ht="12" customHeight="1" x14ac:dyDescent="0.25">
      <c r="A38" s="8" t="s">
        <v>14</v>
      </c>
      <c r="D38" s="102"/>
      <c r="E38" s="102"/>
      <c r="F38" s="103"/>
      <c r="G38" s="112" t="s">
        <v>32</v>
      </c>
      <c r="H38" s="113"/>
      <c r="I38" s="114"/>
      <c r="J38" s="115"/>
    </row>
    <row r="39" spans="1:10" s="4" customFormat="1" ht="12" customHeight="1" x14ac:dyDescent="0.25">
      <c r="A39" s="8" t="s">
        <v>15</v>
      </c>
      <c r="D39" s="104"/>
      <c r="E39" s="104"/>
      <c r="F39" s="105"/>
      <c r="G39" s="112" t="s">
        <v>33</v>
      </c>
      <c r="H39" s="113"/>
      <c r="I39" s="114"/>
      <c r="J39" s="115"/>
    </row>
    <row r="40" spans="1:10" s="4" customFormat="1" ht="12" customHeight="1" x14ac:dyDescent="0.25">
      <c r="A40" s="8" t="s">
        <v>16</v>
      </c>
      <c r="D40" s="104"/>
      <c r="E40" s="104"/>
      <c r="F40" s="105"/>
      <c r="G40" s="116" t="s">
        <v>34</v>
      </c>
      <c r="H40" s="117"/>
      <c r="I40" s="118"/>
      <c r="J40" s="119"/>
    </row>
    <row r="41" spans="1:10" s="4" customFormat="1" ht="12" customHeight="1" x14ac:dyDescent="0.25">
      <c r="A41" s="8" t="s">
        <v>22</v>
      </c>
      <c r="D41" s="106"/>
      <c r="E41" s="101"/>
      <c r="F41" s="107"/>
      <c r="G41" s="145" t="s">
        <v>67</v>
      </c>
      <c r="H41" s="120"/>
      <c r="I41" s="121"/>
      <c r="J41" s="122"/>
    </row>
    <row r="42" spans="1:10" s="4" customFormat="1" ht="12" customHeight="1" x14ac:dyDescent="0.25">
      <c r="A42" s="223" t="s">
        <v>68</v>
      </c>
      <c r="B42" s="224"/>
      <c r="C42" s="227"/>
      <c r="D42" s="82" t="s">
        <v>40</v>
      </c>
      <c r="E42" s="77"/>
      <c r="F42" s="78"/>
      <c r="G42" s="123" t="s">
        <v>59</v>
      </c>
      <c r="H42" s="124">
        <v>0.02</v>
      </c>
      <c r="I42" s="125"/>
      <c r="J42" s="115"/>
    </row>
    <row r="43" spans="1:10" s="4" customFormat="1" ht="10.15" customHeight="1" x14ac:dyDescent="0.25">
      <c r="A43" s="225"/>
      <c r="B43" s="226"/>
      <c r="C43" s="228"/>
      <c r="D43" s="180" t="s">
        <v>0</v>
      </c>
      <c r="E43" s="181"/>
      <c r="F43" s="182"/>
      <c r="G43" s="123" t="s">
        <v>60</v>
      </c>
      <c r="I43" s="126"/>
      <c r="J43" s="127"/>
    </row>
    <row r="44" spans="1:10" s="4" customFormat="1" ht="13.15" customHeight="1" x14ac:dyDescent="0.25">
      <c r="A44" s="225" t="s">
        <v>71</v>
      </c>
      <c r="B44" s="226"/>
      <c r="C44" s="228"/>
      <c r="D44" s="83" t="s">
        <v>2</v>
      </c>
      <c r="E44" s="66" t="s">
        <v>3</v>
      </c>
      <c r="F44" s="79" t="s">
        <v>4</v>
      </c>
      <c r="G44" s="128" t="s">
        <v>5</v>
      </c>
      <c r="I44" s="130"/>
      <c r="J44" s="115"/>
    </row>
    <row r="45" spans="1:10" s="4" customFormat="1" ht="14.45" customHeight="1" x14ac:dyDescent="0.25">
      <c r="A45" s="229"/>
      <c r="B45" s="230"/>
      <c r="C45" s="231"/>
      <c r="D45" s="85"/>
      <c r="E45" s="86"/>
      <c r="F45" s="87"/>
      <c r="G45" s="100" t="s">
        <v>64</v>
      </c>
      <c r="H45" s="101"/>
      <c r="I45" s="144"/>
      <c r="J45" s="131"/>
    </row>
    <row r="46" spans="1:10" s="4" customFormat="1" ht="12" customHeight="1" x14ac:dyDescent="0.25">
      <c r="A46" s="214" t="s">
        <v>42</v>
      </c>
      <c r="B46" s="215"/>
      <c r="C46" s="216"/>
      <c r="D46" s="99" t="s">
        <v>41</v>
      </c>
      <c r="E46" s="80"/>
      <c r="F46" s="81"/>
      <c r="G46" s="132" t="s">
        <v>27</v>
      </c>
      <c r="H46" s="133"/>
      <c r="I46" s="134"/>
      <c r="J46" s="135"/>
    </row>
    <row r="47" spans="1:10" s="4" customFormat="1" ht="12" customHeight="1" x14ac:dyDescent="0.25">
      <c r="A47" s="217"/>
      <c r="B47" s="218"/>
      <c r="C47" s="219"/>
      <c r="D47" s="153" t="s">
        <v>69</v>
      </c>
      <c r="E47" s="148"/>
      <c r="F47" s="149"/>
      <c r="G47" s="136" t="s">
        <v>1</v>
      </c>
      <c r="H47" s="137">
        <v>0.1</v>
      </c>
      <c r="I47" s="138"/>
      <c r="J47" s="139"/>
    </row>
    <row r="48" spans="1:10" s="4" customFormat="1" ht="12" customHeight="1" thickBot="1" x14ac:dyDescent="0.3">
      <c r="A48" s="220"/>
      <c r="B48" s="221"/>
      <c r="C48" s="222"/>
      <c r="D48" s="154" t="s">
        <v>70</v>
      </c>
      <c r="E48" s="151"/>
      <c r="F48" s="152"/>
      <c r="G48" s="140" t="s">
        <v>27</v>
      </c>
      <c r="H48" s="141"/>
      <c r="I48" s="141"/>
      <c r="J48" s="142"/>
    </row>
    <row r="49" spans="1:10" ht="8.4499999999999993" customHeight="1" x14ac:dyDescent="0.25">
      <c r="A49" s="42" t="s">
        <v>43</v>
      </c>
      <c r="B49" s="43"/>
      <c r="C49" s="43"/>
      <c r="D49" s="44"/>
      <c r="E49" s="45" t="s">
        <v>76</v>
      </c>
      <c r="F49" s="45"/>
      <c r="G49" s="47" t="s">
        <v>72</v>
      </c>
      <c r="H49" s="47"/>
      <c r="I49" s="46"/>
      <c r="J49" s="46"/>
    </row>
    <row r="50" spans="1:10" ht="8.4499999999999993" customHeight="1" x14ac:dyDescent="0.25">
      <c r="A50" s="48" t="s">
        <v>44</v>
      </c>
      <c r="B50" s="17"/>
      <c r="C50" s="17"/>
      <c r="D50" s="49"/>
      <c r="E50" s="18" t="s">
        <v>44</v>
      </c>
      <c r="F50" s="18"/>
      <c r="G50" s="51" t="s">
        <v>73</v>
      </c>
      <c r="H50" s="51"/>
      <c r="I50" s="50"/>
      <c r="J50" s="50"/>
    </row>
    <row r="51" spans="1:10" ht="8.4499999999999993" customHeight="1" x14ac:dyDescent="0.25">
      <c r="A51" s="52"/>
      <c r="B51" s="53"/>
      <c r="C51" s="53"/>
      <c r="D51" s="49"/>
      <c r="E51" s="18" t="s">
        <v>75</v>
      </c>
      <c r="F51" s="18"/>
      <c r="G51" s="51" t="s">
        <v>74</v>
      </c>
      <c r="H51" s="51"/>
      <c r="I51" s="50"/>
      <c r="J51" s="50"/>
    </row>
    <row r="52" spans="1:10" ht="3" customHeight="1" thickBot="1" x14ac:dyDescent="0.3">
      <c r="A52" s="13" t="s">
        <v>62</v>
      </c>
      <c r="B52" s="2"/>
      <c r="C52" s="2"/>
      <c r="D52" s="1"/>
      <c r="E52" s="183" t="s">
        <v>49</v>
      </c>
      <c r="F52" s="183"/>
      <c r="G52" s="13" t="s">
        <v>63</v>
      </c>
    </row>
    <row r="53" spans="1:10" s="4" customFormat="1" ht="13.9" customHeight="1" x14ac:dyDescent="0.25">
      <c r="A53" s="5"/>
      <c r="B53" s="6"/>
      <c r="C53" s="7" t="s">
        <v>55</v>
      </c>
      <c r="D53" s="6"/>
      <c r="E53" s="6"/>
      <c r="F53" s="6"/>
      <c r="G53" s="92"/>
      <c r="H53" s="93"/>
      <c r="I53" s="93"/>
      <c r="J53" s="94" t="s">
        <v>6</v>
      </c>
    </row>
    <row r="54" spans="1:10" s="4" customFormat="1" ht="10.15" customHeight="1" x14ac:dyDescent="0.25">
      <c r="A54" s="8"/>
      <c r="C54" s="56" t="s">
        <v>65</v>
      </c>
      <c r="G54" s="198" t="s">
        <v>21</v>
      </c>
      <c r="H54" s="199"/>
      <c r="I54" s="200"/>
      <c r="J54" s="201"/>
    </row>
    <row r="55" spans="1:10" s="4" customFormat="1" ht="10.15" customHeight="1" x14ac:dyDescent="0.25">
      <c r="A55" s="8"/>
      <c r="C55" s="56" t="s">
        <v>66</v>
      </c>
      <c r="G55" s="198"/>
      <c r="H55" s="199"/>
      <c r="I55" s="200"/>
      <c r="J55" s="201"/>
    </row>
    <row r="56" spans="1:10" s="4" customFormat="1" ht="10.15" customHeight="1" x14ac:dyDescent="0.25">
      <c r="A56" s="8"/>
      <c r="C56" s="56" t="s">
        <v>10</v>
      </c>
      <c r="G56" s="143" t="s">
        <v>28</v>
      </c>
      <c r="H56" s="234" t="s">
        <v>36</v>
      </c>
      <c r="I56" s="234" t="s">
        <v>25</v>
      </c>
      <c r="J56" s="237" t="s">
        <v>8</v>
      </c>
    </row>
    <row r="57" spans="1:10" s="4" customFormat="1" ht="10.15" customHeight="1" x14ac:dyDescent="0.25">
      <c r="A57" s="8"/>
      <c r="C57" s="57" t="s">
        <v>11</v>
      </c>
      <c r="G57" s="240" t="s">
        <v>29</v>
      </c>
      <c r="H57" s="235"/>
      <c r="I57" s="235"/>
      <c r="J57" s="238"/>
    </row>
    <row r="58" spans="1:10" s="4" customFormat="1" ht="2.4500000000000002" customHeight="1" x14ac:dyDescent="0.25">
      <c r="A58" s="8"/>
      <c r="C58" s="58"/>
      <c r="G58" s="241"/>
      <c r="H58" s="236"/>
      <c r="I58" s="236"/>
      <c r="J58" s="239"/>
    </row>
    <row r="59" spans="1:10" s="4" customFormat="1" ht="14.45" customHeight="1" x14ac:dyDescent="0.25">
      <c r="A59" s="9" t="s">
        <v>12</v>
      </c>
      <c r="B59" s="59"/>
      <c r="C59" s="60"/>
      <c r="E59" s="61" t="s">
        <v>20</v>
      </c>
      <c r="F59" s="62"/>
      <c r="G59" s="108" t="s">
        <v>24</v>
      </c>
      <c r="H59" s="109"/>
      <c r="I59" s="110"/>
      <c r="J59" s="111"/>
    </row>
    <row r="60" spans="1:10" s="4" customFormat="1" ht="12" customHeight="1" x14ac:dyDescent="0.25">
      <c r="A60" s="8"/>
      <c r="B60" s="63" t="s">
        <v>37</v>
      </c>
      <c r="D60" s="184" t="s">
        <v>39</v>
      </c>
      <c r="E60" s="186"/>
      <c r="F60" s="187"/>
      <c r="G60" s="242" t="s">
        <v>7</v>
      </c>
      <c r="H60" s="244"/>
      <c r="I60" s="246"/>
      <c r="J60" s="232"/>
    </row>
    <row r="61" spans="1:10" s="4" customFormat="1" ht="1.1499999999999999" customHeight="1" x14ac:dyDescent="0.25">
      <c r="A61" s="8"/>
      <c r="B61" s="63"/>
      <c r="D61" s="185"/>
      <c r="E61" s="188"/>
      <c r="F61" s="189"/>
      <c r="G61" s="243"/>
      <c r="H61" s="245"/>
      <c r="I61" s="247"/>
      <c r="J61" s="233"/>
    </row>
    <row r="62" spans="1:10" s="4" customFormat="1" ht="12" customHeight="1" x14ac:dyDescent="0.25">
      <c r="A62" s="19"/>
      <c r="B62" s="63" t="s">
        <v>38</v>
      </c>
      <c r="G62" s="112" t="s">
        <v>30</v>
      </c>
      <c r="H62" s="113"/>
      <c r="I62" s="114"/>
      <c r="J62" s="115"/>
    </row>
    <row r="63" spans="1:10" s="4" customFormat="1" ht="12" customHeight="1" x14ac:dyDescent="0.25">
      <c r="A63" s="10" t="s">
        <v>13</v>
      </c>
      <c r="B63" s="61"/>
      <c r="G63" s="112" t="s">
        <v>31</v>
      </c>
      <c r="H63" s="113"/>
      <c r="I63" s="114"/>
      <c r="J63" s="115"/>
    </row>
    <row r="64" spans="1:10" s="4" customFormat="1" ht="12" customHeight="1" x14ac:dyDescent="0.25">
      <c r="A64" s="8" t="s">
        <v>14</v>
      </c>
      <c r="D64" s="102"/>
      <c r="E64" s="102"/>
      <c r="F64" s="103"/>
      <c r="G64" s="112" t="s">
        <v>32</v>
      </c>
      <c r="H64" s="113"/>
      <c r="I64" s="114"/>
      <c r="J64" s="115"/>
    </row>
    <row r="65" spans="1:10" s="4" customFormat="1" ht="11.45" customHeight="1" x14ac:dyDescent="0.25">
      <c r="A65" s="8" t="s">
        <v>15</v>
      </c>
      <c r="D65" s="104"/>
      <c r="E65" s="104"/>
      <c r="F65" s="105"/>
      <c r="G65" s="112" t="s">
        <v>33</v>
      </c>
      <c r="H65" s="113"/>
      <c r="I65" s="114"/>
      <c r="J65" s="115"/>
    </row>
    <row r="66" spans="1:10" s="4" customFormat="1" ht="12" customHeight="1" x14ac:dyDescent="0.25">
      <c r="A66" s="8" t="s">
        <v>16</v>
      </c>
      <c r="D66" s="104"/>
      <c r="E66" s="104"/>
      <c r="F66" s="105"/>
      <c r="G66" s="116" t="s">
        <v>34</v>
      </c>
      <c r="H66" s="117"/>
      <c r="I66" s="118"/>
      <c r="J66" s="119"/>
    </row>
    <row r="67" spans="1:10" s="4" customFormat="1" ht="12" customHeight="1" x14ac:dyDescent="0.25">
      <c r="A67" s="8" t="s">
        <v>22</v>
      </c>
      <c r="D67" s="106"/>
      <c r="E67" s="101"/>
      <c r="F67" s="107"/>
      <c r="G67" s="145" t="s">
        <v>67</v>
      </c>
      <c r="H67" s="120"/>
      <c r="I67" s="121"/>
      <c r="J67" s="122"/>
    </row>
    <row r="68" spans="1:10" s="4" customFormat="1" ht="12" customHeight="1" x14ac:dyDescent="0.25">
      <c r="A68" s="223" t="s">
        <v>68</v>
      </c>
      <c r="B68" s="224"/>
      <c r="C68" s="227"/>
      <c r="D68" s="82" t="s">
        <v>40</v>
      </c>
      <c r="E68" s="77"/>
      <c r="F68" s="78"/>
      <c r="G68" s="123" t="s">
        <v>59</v>
      </c>
      <c r="H68" s="124">
        <v>0.02</v>
      </c>
      <c r="I68" s="125"/>
      <c r="J68" s="115"/>
    </row>
    <row r="69" spans="1:10" s="4" customFormat="1" ht="12" customHeight="1" x14ac:dyDescent="0.25">
      <c r="A69" s="225"/>
      <c r="B69" s="226"/>
      <c r="C69" s="228"/>
      <c r="D69" s="180" t="s">
        <v>0</v>
      </c>
      <c r="E69" s="181"/>
      <c r="F69" s="182"/>
      <c r="G69" s="123" t="s">
        <v>60</v>
      </c>
      <c r="H69" s="126"/>
      <c r="I69" s="126"/>
      <c r="J69" s="127"/>
    </row>
    <row r="70" spans="1:10" s="4" customFormat="1" ht="15" customHeight="1" x14ac:dyDescent="0.25">
      <c r="A70" s="225" t="s">
        <v>71</v>
      </c>
      <c r="B70" s="226"/>
      <c r="C70" s="228"/>
      <c r="D70" s="83" t="s">
        <v>2</v>
      </c>
      <c r="E70" s="66" t="s">
        <v>3</v>
      </c>
      <c r="F70" s="79" t="s">
        <v>4</v>
      </c>
      <c r="G70" s="128" t="s">
        <v>5</v>
      </c>
      <c r="H70" s="129"/>
      <c r="I70" s="130"/>
      <c r="J70" s="115"/>
    </row>
    <row r="71" spans="1:10" s="4" customFormat="1" ht="12" customHeight="1" x14ac:dyDescent="0.25">
      <c r="A71" s="229"/>
      <c r="B71" s="230"/>
      <c r="C71" s="231"/>
      <c r="D71" s="85"/>
      <c r="E71" s="86"/>
      <c r="F71" s="87"/>
      <c r="G71" s="100" t="s">
        <v>64</v>
      </c>
      <c r="H71" s="101"/>
      <c r="I71" s="144"/>
      <c r="J71" s="131"/>
    </row>
    <row r="72" spans="1:10" s="4" customFormat="1" ht="12" customHeight="1" x14ac:dyDescent="0.25">
      <c r="A72" s="214" t="s">
        <v>42</v>
      </c>
      <c r="B72" s="215"/>
      <c r="C72" s="216"/>
      <c r="D72" s="99" t="s">
        <v>41</v>
      </c>
      <c r="E72" s="80"/>
      <c r="F72" s="81"/>
      <c r="G72" s="132" t="s">
        <v>27</v>
      </c>
      <c r="H72" s="133"/>
      <c r="I72" s="134"/>
      <c r="J72" s="135"/>
    </row>
    <row r="73" spans="1:10" s="4" customFormat="1" ht="12" customHeight="1" x14ac:dyDescent="0.25">
      <c r="A73" s="217"/>
      <c r="B73" s="218"/>
      <c r="C73" s="219"/>
      <c r="D73" s="153" t="s">
        <v>69</v>
      </c>
      <c r="E73" s="148"/>
      <c r="F73" s="149"/>
      <c r="G73" s="136" t="s">
        <v>1</v>
      </c>
      <c r="H73" s="137">
        <v>0.1</v>
      </c>
      <c r="I73" s="138"/>
      <c r="J73" s="139"/>
    </row>
    <row r="74" spans="1:10" s="4" customFormat="1" ht="10.15" customHeight="1" thickBot="1" x14ac:dyDescent="0.3">
      <c r="A74" s="220"/>
      <c r="B74" s="221"/>
      <c r="C74" s="222"/>
      <c r="D74" s="154" t="s">
        <v>70</v>
      </c>
      <c r="E74" s="151"/>
      <c r="F74" s="152"/>
      <c r="G74" s="140" t="s">
        <v>27</v>
      </c>
      <c r="H74" s="141"/>
      <c r="I74" s="141"/>
      <c r="J74" s="142"/>
    </row>
    <row r="75" spans="1:10" ht="8.4499999999999993" customHeight="1" x14ac:dyDescent="0.25">
      <c r="A75" s="42" t="s">
        <v>43</v>
      </c>
      <c r="B75" s="43"/>
      <c r="C75" s="43"/>
      <c r="D75" s="44"/>
      <c r="E75" s="45" t="s">
        <v>76</v>
      </c>
      <c r="F75" s="45"/>
      <c r="G75" s="47" t="s">
        <v>72</v>
      </c>
      <c r="H75" s="47"/>
      <c r="I75" s="46"/>
      <c r="J75" s="46"/>
    </row>
    <row r="76" spans="1:10" ht="8.4499999999999993" customHeight="1" x14ac:dyDescent="0.25">
      <c r="A76" s="48" t="s">
        <v>44</v>
      </c>
      <c r="B76" s="17"/>
      <c r="C76" s="17"/>
      <c r="D76" s="49"/>
      <c r="E76" s="18" t="s">
        <v>44</v>
      </c>
      <c r="F76" s="18"/>
      <c r="G76" s="51" t="s">
        <v>73</v>
      </c>
      <c r="H76" s="51"/>
      <c r="I76" s="50"/>
      <c r="J76" s="50"/>
    </row>
    <row r="77" spans="1:10" ht="8.4499999999999993" customHeight="1" x14ac:dyDescent="0.25">
      <c r="A77" s="52"/>
      <c r="B77" s="53"/>
      <c r="C77" s="53"/>
      <c r="D77" s="49"/>
      <c r="E77" s="18" t="s">
        <v>75</v>
      </c>
      <c r="F77" s="18"/>
      <c r="G77" s="51" t="s">
        <v>74</v>
      </c>
      <c r="H77" s="51"/>
      <c r="I77" s="50"/>
      <c r="J77" s="50"/>
    </row>
  </sheetData>
  <mergeCells count="57">
    <mergeCell ref="J8:J9"/>
    <mergeCell ref="G2:G3"/>
    <mergeCell ref="H2:J3"/>
    <mergeCell ref="K2:K4"/>
    <mergeCell ref="H4:H6"/>
    <mergeCell ref="I4:I6"/>
    <mergeCell ref="J4:J6"/>
    <mergeCell ref="G5:G6"/>
    <mergeCell ref="D8:D9"/>
    <mergeCell ref="E8:F9"/>
    <mergeCell ref="G8:G9"/>
    <mergeCell ref="H8:H9"/>
    <mergeCell ref="I8:I9"/>
    <mergeCell ref="D17:F17"/>
    <mergeCell ref="A16:B17"/>
    <mergeCell ref="C16:C17"/>
    <mergeCell ref="A18:B19"/>
    <mergeCell ref="C18:C19"/>
    <mergeCell ref="A20:C22"/>
    <mergeCell ref="J34:J35"/>
    <mergeCell ref="E26:F26"/>
    <mergeCell ref="G28:G29"/>
    <mergeCell ref="H28:J29"/>
    <mergeCell ref="H30:H32"/>
    <mergeCell ref="I30:I32"/>
    <mergeCell ref="J30:J32"/>
    <mergeCell ref="G31:G32"/>
    <mergeCell ref="D34:D35"/>
    <mergeCell ref="E34:F35"/>
    <mergeCell ref="G34:G35"/>
    <mergeCell ref="H34:H35"/>
    <mergeCell ref="I34:I35"/>
    <mergeCell ref="D43:F43"/>
    <mergeCell ref="A42:B43"/>
    <mergeCell ref="C42:C43"/>
    <mergeCell ref="A44:B45"/>
    <mergeCell ref="C44:C45"/>
    <mergeCell ref="A46:C48"/>
    <mergeCell ref="J60:J61"/>
    <mergeCell ref="E52:F52"/>
    <mergeCell ref="G54:G55"/>
    <mergeCell ref="H54:J55"/>
    <mergeCell ref="H56:H58"/>
    <mergeCell ref="I56:I58"/>
    <mergeCell ref="J56:J58"/>
    <mergeCell ref="G57:G58"/>
    <mergeCell ref="D60:D61"/>
    <mergeCell ref="E60:F61"/>
    <mergeCell ref="G60:G61"/>
    <mergeCell ref="H60:H61"/>
    <mergeCell ref="I60:I61"/>
    <mergeCell ref="A72:C74"/>
    <mergeCell ref="D69:F69"/>
    <mergeCell ref="A68:B69"/>
    <mergeCell ref="C68:C69"/>
    <mergeCell ref="A70:B71"/>
    <mergeCell ref="C70:C71"/>
  </mergeCells>
  <pageMargins left="0.39370078740157483" right="0.39370078740157483" top="0.19685039370078741" bottom="0.19685039370078741" header="0.31496062992125984" footer="0.31496062992125984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IWD Billing Inv</vt:lpstr>
      <vt:lpstr>IWD Billing Blank</vt:lpstr>
      <vt:lpstr>'IWD Billing Blank'!Print_Area</vt:lpstr>
      <vt:lpstr>'IWD Billing Inv'!Print_Area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Fel Galarpe</cp:lastModifiedBy>
  <cp:lastPrinted>2025-07-01T07:06:07Z</cp:lastPrinted>
  <dcterms:created xsi:type="dcterms:W3CDTF">2024-04-09T02:28:40Z</dcterms:created>
  <dcterms:modified xsi:type="dcterms:W3CDTF">2025-07-21T21:25:46Z</dcterms:modified>
</cp:coreProperties>
</file>